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30x40" sheetId="2" state="visible" r:id="rId4"/>
    <sheet name="30x50" sheetId="3" state="visible" r:id="rId5"/>
    <sheet name="40x40" sheetId="4" state="visible" r:id="rId6"/>
    <sheet name="40x50" sheetId="5" state="visible" r:id="rId7"/>
    <sheet name="40x60" sheetId="6" state="visible" r:id="rId8"/>
    <sheet name="50x50" sheetId="7" state="visible" r:id="rId9"/>
    <sheet name="50x60" sheetId="8" state="visible" r:id="rId10"/>
    <sheet name="50x80" sheetId="9" state="visible" r:id="rId11"/>
    <sheet name="60x100" sheetId="10" state="visible" r:id="rId12"/>
    <sheet name="60x60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<sst xmlns="http://schemas.openxmlformats.org/spreadsheetml/2006/main" count="836" uniqueCount="82">
  <si>
    <t xml:space="preserve">Pole Barn - Summary of All Sizes</t>
  </si>
  <si>
    <t xml:space="preserve">Size</t>
  </si>
  <si>
    <t xml:space="preserve">Square Footage</t>
  </si>
  <si>
    <t xml:space="preserve">Total Cost</t>
  </si>
  <si>
    <t xml:space="preserve">Total Selling Price</t>
  </si>
  <si>
    <t xml:space="preserve">Overall Margin %</t>
  </si>
  <si>
    <t xml:space="preserve">30x40</t>
  </si>
  <si>
    <t xml:space="preserve">30x50</t>
  </si>
  <si>
    <t xml:space="preserve">40x40</t>
  </si>
  <si>
    <t xml:space="preserve">40x50</t>
  </si>
  <si>
    <t xml:space="preserve">40x60</t>
  </si>
  <si>
    <t xml:space="preserve">50x50</t>
  </si>
  <si>
    <t xml:space="preserve">50x60</t>
  </si>
  <si>
    <t xml:space="preserve">50x80</t>
  </si>
  <si>
    <t xml:space="preserve">60x60</t>
  </si>
  <si>
    <t xml:space="preserve">60x100</t>
  </si>
  <si>
    <t xml:space="preserve">30x40 - Pole Barn BOM</t>
  </si>
  <si>
    <t xml:space="preserve">Building Size:</t>
  </si>
  <si>
    <t xml:space="preserve">30x40 ft</t>
  </si>
  <si>
    <t xml:space="preserve">Square Footage:</t>
  </si>
  <si>
    <t xml:space="preserve">Generated:</t>
  </si>
  <si>
    <t xml:space="preserve">2026-02-14 23:58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</si>
  <si>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</si>
  <si>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</si>
  <si>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</si>
  <si>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</si>
  <si>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</si>
  <si>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Selling Price (Unit)</t>
  </si>
  <si>
    <t xml:space="preserve">Margin %</t>
  </si>
  <si>
    <t xml:space="preserve">1. STRUCTURAL FRAME</t>
  </si>
  <si>
    <t xml:space="preserve">Main Posts (4" Square Steel Tube)</t>
  </si>
  <si>
    <t xml:space="preserve">ea</t>
  </si>
  <si>
    <t xml:space="preserve">Welded Trusses (16' nominal span)</t>
  </si>
  <si>
    <t xml:space="preserve">Eave Struts (2 x building length)</t>
  </si>
  <si>
    <t xml:space="preserve">lf</t>
  </si>
  <si>
    <t xml:space="preserve">Cross Bracing Rods (4 sets minimum)</t>
  </si>
  <si>
    <t xml:space="preserve">set</t>
  </si>
  <si>
    <t xml:space="preserve">Base Plates &amp; Anchor Bolts</t>
  </si>
  <si>
    <t xml:space="preserve">2. SECONDARY FRAMING</t>
  </si>
  <si>
    <t xml:space="preserve">Roof Purlins (4" C-Purlin, 5' OC)</t>
  </si>
  <si>
    <t xml:space="preserve">Wall Girts (4" C-Girt, 5' OC)</t>
  </si>
  <si>
    <t xml:space="preserve">3. ROOFING SYSTEM</t>
  </si>
  <si>
    <t xml:space="preserve">26ga Roof Panels (3' coverage, painted)</t>
  </si>
  <si>
    <t xml:space="preserve">Ridge Cap (26ga, linear feet)</t>
  </si>
  <si>
    <t xml:space="preserve">Roof Panel Screws (TEK self-drilling)</t>
  </si>
  <si>
    <t xml:space="preserve">4. WALL SYSTEM</t>
  </si>
  <si>
    <t xml:space="preserve">26ga Wall Panels (3' coverage, painted)</t>
  </si>
  <si>
    <t xml:space="preserve">Wall Panel Screws (TEK self-drilling)</t>
  </si>
  <si>
    <t xml:space="preserve">5. TRIM &amp; FLASHING</t>
  </si>
  <si>
    <t xml:space="preserve">Eave Trim (linear feet)</t>
  </si>
  <si>
    <t xml:space="preserve">Gable Trim (linear feet)</t>
  </si>
  <si>
    <t xml:space="preserve">Corner Trim (linear feet)</t>
  </si>
  <si>
    <t xml:space="preserve">Base/Rat Guard Trim (linear feet)</t>
  </si>
  <si>
    <t xml:space="preserve">6. HARDWARE &amp; FASTENERS</t>
  </si>
  <si>
    <t xml:space="preserve">Structural Bolts (per post connection)</t>
  </si>
  <si>
    <t xml:space="preserve">Anchor Bolts (per base plate)</t>
  </si>
  <si>
    <t xml:space="preserve">TEK Screws (purlin connections)</t>
  </si>
  <si>
    <t xml:space="preserve">Sealant/Caulk (tubes, 1 per 50 LF trim)</t>
  </si>
  <si>
    <t xml:space="preserve">tube</t>
  </si>
  <si>
    <t xml:space="preserve">Butyl Tape (rolls, 1 per 100 LF panel)</t>
  </si>
  <si>
    <t xml:space="preserve">roll</t>
  </si>
  <si>
    <t xml:space="preserve">General Hardware Kit</t>
  </si>
  <si>
    <t xml:space="preserve">kit</t>
  </si>
  <si>
    <t xml:space="preserve">TOTALS</t>
  </si>
  <si>
    <t xml:space="preserve">30x50 - Pole Barn BOM</t>
  </si>
  <si>
    <t xml:space="preserve">30x50 ft</t>
  </si>
  <si>
    <t xml:space="preserve">40x40 - Pole Barn BOM</t>
  </si>
  <si>
    <t xml:space="preserve">40x40 ft</t>
  </si>
  <si>
    <t xml:space="preserve">40x50 - Pole Barn BOM</t>
  </si>
  <si>
    <t xml:space="preserve">40x50 ft</t>
  </si>
  <si>
    <t xml:space="preserve">40x60 - Pole Barn BOM</t>
  </si>
  <si>
    <t xml:space="preserve">40x60 ft</t>
  </si>
  <si>
    <t xml:space="preserve">50x50 - Pole Barn BOM</t>
  </si>
  <si>
    <t xml:space="preserve">50x50 ft</t>
  </si>
  <si>
    <t xml:space="preserve">50x60 - Pole Barn BOM</t>
  </si>
  <si>
    <t xml:space="preserve">50x60 ft</t>
  </si>
  <si>
    <t xml:space="preserve">50x80 - Pole Barn BOM</t>
  </si>
  <si>
    <t xml:space="preserve">50x80 ft</t>
  </si>
  <si>
    <t xml:space="preserve">60x100 - Pole Barn BOM</t>
  </si>
  <si>
    <t xml:space="preserve">60x100 ft</t>
  </si>
  <si>
    <t xml:space="preserve">60x60 - Pole Barn BOM</t>
  </si>
  <si>
    <t xml:space="preserve">60x60 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</si>
</sst>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E7E6E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5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1" t="s">
        <v>6</v>
      </c>
      <c r="B4" s="1" t="n">
        <v>1200</v>
      </c>
      <c r="C4" s="4" t="n">
        <f aca="false">30x40!F300</f>
        <v>0</v>
      </c>
      <c r="D4" s="4" t="n">
        <f aca="false">30x40!H300</f>
        <v>0</v>
      </c>
      <c r="E4" s="5" t="n">
        <f aca="false">30x40!I300</f>
        <v>0</v>
      </c>
    </row>
    <row r="5" customFormat="false" ht="15" hidden="false" customHeight="false" outlineLevel="0" collapsed="false">
      <c r="A5" s="1" t="s">
        <v>7</v>
      </c>
      <c r="B5" s="1" t="n">
        <v>1500</v>
      </c>
      <c r="C5" s="4" t="n">
        <f aca="false">30x50!F300</f>
        <v>0</v>
      </c>
      <c r="D5" s="4" t="n">
        <f aca="false">30x50!H300</f>
        <v>0</v>
      </c>
      <c r="E5" s="5" t="n">
        <f aca="false">30x50!I300</f>
        <v>0</v>
      </c>
    </row>
    <row r="6" customFormat="false" ht="15" hidden="false" customHeight="false" outlineLevel="0" collapsed="false">
      <c r="A6" s="1" t="s">
        <v>8</v>
      </c>
      <c r="B6" s="1" t="n">
        <v>1600</v>
      </c>
      <c r="C6" s="4" t="n">
        <f aca="false">40x40!F300</f>
        <v>0</v>
      </c>
      <c r="D6" s="4" t="n">
        <f aca="false">40x40!H300</f>
        <v>0</v>
      </c>
      <c r="E6" s="5" t="n">
        <f aca="false">40x40!I300</f>
        <v>0</v>
      </c>
    </row>
    <row r="7" customFormat="false" ht="15" hidden="false" customHeight="false" outlineLevel="0" collapsed="false">
      <c r="A7" s="1" t="s">
        <v>9</v>
      </c>
      <c r="B7" s="1" t="n">
        <v>2000</v>
      </c>
      <c r="C7" s="4" t="n">
        <f aca="false">40x50!F300</f>
        <v>0</v>
      </c>
      <c r="D7" s="4" t="n">
        <f aca="false">40x50!H300</f>
        <v>0</v>
      </c>
      <c r="E7" s="5" t="n">
        <f aca="false">40x50!I300</f>
        <v>0</v>
      </c>
    </row>
    <row r="8" customFormat="false" ht="15" hidden="false" customHeight="false" outlineLevel="0" collapsed="false">
      <c r="A8" s="1" t="s">
        <v>10</v>
      </c>
      <c r="B8" s="1" t="n">
        <v>2400</v>
      </c>
      <c r="C8" s="4" t="n">
        <f aca="false">40x60!F300</f>
        <v>0</v>
      </c>
      <c r="D8" s="4" t="n">
        <f aca="false">40x60!H300</f>
        <v>0</v>
      </c>
      <c r="E8" s="5" t="n">
        <f aca="false">40x60!I300</f>
        <v>0</v>
      </c>
    </row>
    <row r="9" customFormat="false" ht="15" hidden="false" customHeight="false" outlineLevel="0" collapsed="false">
      <c r="A9" s="1" t="s">
        <v>11</v>
      </c>
      <c r="B9" s="1" t="n">
        <v>2500</v>
      </c>
      <c r="C9" s="4" t="n">
        <f aca="false">50x50!F300</f>
        <v>0</v>
      </c>
      <c r="D9" s="4" t="n">
        <f aca="false">50x50!H300</f>
        <v>0</v>
      </c>
      <c r="E9" s="5" t="n">
        <f aca="false">50x50!I300</f>
        <v>0</v>
      </c>
    </row>
    <row r="10" customFormat="false" ht="15" hidden="false" customHeight="false" outlineLevel="0" collapsed="false">
      <c r="A10" s="1" t="s">
        <v>12</v>
      </c>
      <c r="B10" s="1" t="n">
        <v>3000</v>
      </c>
      <c r="C10" s="4" t="n">
        <f aca="false">50x60!F300</f>
        <v>0</v>
      </c>
      <c r="D10" s="4" t="n">
        <f aca="false">50x60!H300</f>
        <v>0</v>
      </c>
      <c r="E10" s="5" t="n">
        <f aca="false">50x60!I300</f>
        <v>0</v>
      </c>
    </row>
    <row r="11" customFormat="false" ht="15" hidden="false" customHeight="false" outlineLevel="0" collapsed="false">
      <c r="A11" s="1" t="s">
        <v>13</v>
      </c>
      <c r="B11" s="1" t="n">
        <v>4000</v>
      </c>
      <c r="C11" s="4" t="n">
        <f aca="false">50x80!F300</f>
        <v>0</v>
      </c>
      <c r="D11" s="4" t="n">
        <f aca="false">50x80!H300</f>
        <v>0</v>
      </c>
      <c r="E11" s="5" t="n">
        <f aca="false">50x80!I300</f>
        <v>0</v>
      </c>
    </row>
    <row r="12" customFormat="false" ht="15" hidden="false" customHeight="false" outlineLevel="0" collapsed="false">
      <c r="A12" s="1" t="s">
        <v>14</v>
      </c>
      <c r="B12" s="1" t="n">
        <v>3600</v>
      </c>
      <c r="C12" s="4" t="n">
        <f aca="false">60x60!F300</f>
        <v>0</v>
      </c>
      <c r="D12" s="4" t="n">
        <f aca="false">60x60!H300</f>
        <v>0</v>
      </c>
      <c r="E12" s="5" t="n">
        <f aca="false">60x60!I300</f>
        <v>0</v>
      </c>
    </row>
    <row r="13" customFormat="false" ht="15" hidden="false" customHeight="false" outlineLevel="0" collapsed="false">
      <c r="A13" s="1" t="s">
        <v>15</v>
      </c>
      <c r="B13" s="1" t="n">
        <v>6000</v>
      </c>
      <c r="C13" s="4" t="n">
        <f aca="false">60x100!F300</f>
        <v>0</v>
      </c>
      <c r="D13" s="4" t="n">
        <f aca="false">60x100!H300</f>
        <v>0</v>
      </c>
      <c r="E13" s="5" t="n">
        <f aca="false">60x100!I300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18</v>
      </c>
    </row>
    <row r="4" customFormat="false" ht="15" hidden="false" customHeight="false" outlineLevel="0" collapsed="false">
      <c r="A4" s="1" t="s">
        <v>19</v>
      </c>
      <c r="B4" s="1" t="n">
        <v>1200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14</v>
      </c>
      <c r="D8" s="7" t="s">
        <v>31</v>
      </c>
      <c r="E8" s="8" t="n">
        <v>45</v>
      </c>
      <c r="F8" s="8" t="n">
        <f aca="false">C8*E8</f>
        <v>630</v>
      </c>
      <c r="G8" s="8" t="n">
        <f aca="false">E8 / 0.55</f>
        <v>81.8181818181818</v>
      </c>
      <c r="H8" s="8" t="n">
        <f aca="false">C8*G8</f>
        <v>1145.45454545455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5</v>
      </c>
      <c r="D9" s="7" t="s">
        <v>31</v>
      </c>
      <c r="E9" s="8" t="n">
        <v>250</v>
      </c>
      <c r="F9" s="8" t="n">
        <f aca="false">C9*E9</f>
        <v>1250</v>
      </c>
      <c r="G9" s="8" t="n">
        <f aca="false">E9 / 0.55</f>
        <v>454.545454545455</v>
      </c>
      <c r="H9" s="8" t="n">
        <f aca="false">C9*G9</f>
        <v>2272.72727272727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80</v>
      </c>
      <c r="D10" s="7" t="s">
        <v>34</v>
      </c>
      <c r="E10" s="8" t="n">
        <v>2.5</v>
      </c>
      <c r="F10" s="8" t="n">
        <f aca="false">C10*E10</f>
        <v>200</v>
      </c>
      <c r="G10" s="8" t="n">
        <f aca="false">E10 / 0.55</f>
        <v>4.54545454545455</v>
      </c>
      <c r="H10" s="8" t="n">
        <f aca="false">C10*G10</f>
        <v>363.636363636364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14</v>
      </c>
      <c r="D12" s="7" t="s">
        <v>36</v>
      </c>
      <c r="E12" s="8" t="n">
        <v>12</v>
      </c>
      <c r="F12" s="8" t="n">
        <f aca="false">C12*E12</f>
        <v>168</v>
      </c>
      <c r="G12" s="8" t="n">
        <f aca="false">E12 / 0.55</f>
        <v>21.8181818181818</v>
      </c>
      <c r="H12" s="8" t="n">
        <f aca="false">C12*G12</f>
        <v>305.454545454545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320</v>
      </c>
      <c r="D13" s="10" t="s">
        <v>34</v>
      </c>
      <c r="E13" s="11" t="n">
        <v>3.75</v>
      </c>
      <c r="F13" s="11" t="n">
        <f aca="false">C13*E13</f>
        <v>1200</v>
      </c>
      <c r="G13" s="11" t="n">
        <f aca="false">E13 / 0.55</f>
        <v>6.81818181818182</v>
      </c>
      <c r="H13" s="11" t="n">
        <f aca="false">C13*G13</f>
        <v>2181.81818181818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280</v>
      </c>
      <c r="D14" s="10" t="s">
        <v>34</v>
      </c>
      <c r="E14" s="11" t="n">
        <v>3.5</v>
      </c>
      <c r="F14" s="11" t="n">
        <f aca="false">C14*E14</f>
        <v>980</v>
      </c>
      <c r="G14" s="11" t="n">
        <f aca="false">E14 / 0.55</f>
        <v>6.36363636363636</v>
      </c>
      <c r="H14" s="11" t="n">
        <f aca="false">C14*G14</f>
        <v>1781.81818181818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28</v>
      </c>
      <c r="D15" s="7" t="s">
        <v>31</v>
      </c>
      <c r="E15" s="8" t="n">
        <v>45</v>
      </c>
      <c r="F15" s="8" t="n">
        <f aca="false">C15*E15</f>
        <v>1260</v>
      </c>
      <c r="G15" s="8" t="n">
        <f aca="false">E15 / 0.55</f>
        <v>81.8181818181818</v>
      </c>
      <c r="H15" s="8" t="n">
        <f aca="false">C15*G15</f>
        <v>2290.90909090909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40</v>
      </c>
      <c r="D16" s="7" t="s">
        <v>34</v>
      </c>
      <c r="E16" s="8" t="n">
        <v>2.25</v>
      </c>
      <c r="F16" s="8" t="n">
        <f aca="false">C16*E16</f>
        <v>90</v>
      </c>
      <c r="G16" s="8" t="n">
        <f aca="false">E16 / 0.55</f>
        <v>4.09090909090909</v>
      </c>
      <c r="H16" s="8" t="n">
        <f aca="false">C16*G16</f>
        <v>163.636363636364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960</v>
      </c>
      <c r="D17" s="7" t="s">
        <v>31</v>
      </c>
      <c r="E17" s="8" t="n">
        <v>0.08</v>
      </c>
      <c r="F17" s="8" t="n">
        <f aca="false">C17*E17</f>
        <v>76.8</v>
      </c>
      <c r="G17" s="8" t="n">
        <f aca="false">E17 / 0.55</f>
        <v>0.145454545454545</v>
      </c>
      <c r="H17" s="8" t="n">
        <f aca="false">C17*G17</f>
        <v>139.636363636364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47</v>
      </c>
      <c r="D18" s="10" t="s">
        <v>31</v>
      </c>
      <c r="E18" s="11" t="n">
        <v>35</v>
      </c>
      <c r="F18" s="11" t="n">
        <f aca="false">C18*E18</f>
        <v>1645</v>
      </c>
      <c r="G18" s="11" t="n">
        <f aca="false">E18 / 0.55</f>
        <v>63.6363636363636</v>
      </c>
      <c r="H18" s="11" t="n">
        <f aca="false">C18*G18</f>
        <v>2990.90909090909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700</v>
      </c>
      <c r="D19" s="10" t="s">
        <v>31</v>
      </c>
      <c r="E19" s="11" t="n">
        <v>0.08</v>
      </c>
      <c r="F19" s="11" t="n">
        <f aca="false">C19*E19</f>
        <v>56</v>
      </c>
      <c r="G19" s="11" t="n">
        <f aca="false">E19 / 0.55</f>
        <v>0.145454545454545</v>
      </c>
      <c r="H19" s="11" t="n">
        <f aca="false">C19*G19</f>
        <v>101.818181818182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80</v>
      </c>
      <c r="D20" s="7" t="s">
        <v>34</v>
      </c>
      <c r="E20" s="8" t="n">
        <v>1.25</v>
      </c>
      <c r="F20" s="8" t="n">
        <f aca="false">C20*E20</f>
        <v>100</v>
      </c>
      <c r="G20" s="8" t="n">
        <f aca="false">E20 / 0.55</f>
        <v>2.27272727272727</v>
      </c>
      <c r="H20" s="8" t="n">
        <f aca="false">C20*G20</f>
        <v>181.818181818182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61.8465843842649</v>
      </c>
      <c r="D21" s="7" t="s">
        <v>34</v>
      </c>
      <c r="E21" s="8" t="n">
        <v>1.5</v>
      </c>
      <c r="F21" s="8" t="n">
        <f aca="false">C21*E21</f>
        <v>92.7698765763974</v>
      </c>
      <c r="G21" s="8" t="n">
        <f aca="false">E21 / 0.55</f>
        <v>2.72727272727273</v>
      </c>
      <c r="H21" s="8" t="n">
        <f aca="false">C21*G21</f>
        <v>168.672502866177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140</v>
      </c>
      <c r="D23" s="7" t="s">
        <v>34</v>
      </c>
      <c r="E23" s="8" t="n">
        <v>0.75</v>
      </c>
      <c r="F23" s="8" t="n">
        <f aca="false">C23*E23</f>
        <v>105</v>
      </c>
      <c r="G23" s="8" t="n">
        <f aca="false">E23 / 0.55</f>
        <v>1.36363636363636</v>
      </c>
      <c r="H23" s="8" t="n">
        <f aca="false">C23*G23</f>
        <v>190.909090909091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56</v>
      </c>
      <c r="D24" s="10" t="s">
        <v>31</v>
      </c>
      <c r="E24" s="11" t="n">
        <v>0.35</v>
      </c>
      <c r="F24" s="11" t="n">
        <f aca="false">C24*E24</f>
        <v>19.6</v>
      </c>
      <c r="G24" s="11" t="n">
        <f aca="false">E24 / 0.55</f>
        <v>0.636363636363636</v>
      </c>
      <c r="H24" s="11" t="n">
        <f aca="false">C24*G24</f>
        <v>35.6363636363636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56</v>
      </c>
      <c r="D25" s="10" t="s">
        <v>31</v>
      </c>
      <c r="E25" s="11" t="n">
        <v>0.4</v>
      </c>
      <c r="F25" s="11" t="n">
        <f aca="false">C25*E25</f>
        <v>22.4</v>
      </c>
      <c r="G25" s="11" t="n">
        <f aca="false">E25 / 0.55</f>
        <v>0.727272727272727</v>
      </c>
      <c r="H25" s="11" t="n">
        <f aca="false">C25*G25</f>
        <v>40.7272727272727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384</v>
      </c>
      <c r="D26" s="10" t="s">
        <v>31</v>
      </c>
      <c r="E26" s="11" t="n">
        <v>0.12</v>
      </c>
      <c r="F26" s="11" t="n">
        <f aca="false">C26*E26</f>
        <v>46.08</v>
      </c>
      <c r="G26" s="11" t="n">
        <f aca="false">E26 / 0.55</f>
        <v>0.218181818181818</v>
      </c>
      <c r="H26" s="11" t="n">
        <f aca="false">C26*G26</f>
        <v>83.7818181818182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7</v>
      </c>
      <c r="D27" s="10" t="s">
        <v>58</v>
      </c>
      <c r="E27" s="11" t="n">
        <v>8.5</v>
      </c>
      <c r="F27" s="11" t="n">
        <f aca="false">C27*E27</f>
        <v>59.5</v>
      </c>
      <c r="G27" s="11" t="n">
        <f aca="false">E27 / 0.55</f>
        <v>15.4545454545455</v>
      </c>
      <c r="H27" s="11" t="n">
        <f aca="false">C27*G27</f>
        <v>108.181818181818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2</v>
      </c>
      <c r="D28" s="10" t="s">
        <v>60</v>
      </c>
      <c r="E28" s="11" t="n">
        <v>12</v>
      </c>
      <c r="F28" s="11" t="n">
        <f aca="false">C28*E28</f>
        <v>24</v>
      </c>
      <c r="G28" s="11" t="n">
        <f aca="false">E28 / 0.55</f>
        <v>21.8181818181818</v>
      </c>
      <c r="H28" s="11" t="n">
        <f aca="false">C28*G28</f>
        <v>43.6363636363636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8520.1498765764</v>
      </c>
      <c r="G30" s="14"/>
      <c r="H30" s="15" t="n">
        <f aca="false">SUM(H8:H29)</f>
        <v>15491.1815937753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65</v>
      </c>
    </row>
    <row r="4" customFormat="false" ht="15" hidden="false" customHeight="false" outlineLevel="0" collapsed="false">
      <c r="A4" s="1" t="s">
        <v>19</v>
      </c>
      <c r="B4" s="1" t="n">
        <v>1500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16</v>
      </c>
      <c r="D8" s="7" t="s">
        <v>31</v>
      </c>
      <c r="E8" s="8" t="n">
        <v>45</v>
      </c>
      <c r="F8" s="8" t="n">
        <f aca="false">C8*E8</f>
        <v>720</v>
      </c>
      <c r="G8" s="8" t="n">
        <f aca="false">E8 / 0.55</f>
        <v>81.8181818181818</v>
      </c>
      <c r="H8" s="8" t="n">
        <f aca="false">C8*G8</f>
        <v>1309.09090909091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6</v>
      </c>
      <c r="D9" s="7" t="s">
        <v>31</v>
      </c>
      <c r="E9" s="8" t="n">
        <v>250</v>
      </c>
      <c r="F9" s="8" t="n">
        <f aca="false">C9*E9</f>
        <v>1500</v>
      </c>
      <c r="G9" s="8" t="n">
        <f aca="false">E9 / 0.55</f>
        <v>454.545454545455</v>
      </c>
      <c r="H9" s="8" t="n">
        <f aca="false">C9*G9</f>
        <v>2727.27272727273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100</v>
      </c>
      <c r="D10" s="7" t="s">
        <v>34</v>
      </c>
      <c r="E10" s="8" t="n">
        <v>2.5</v>
      </c>
      <c r="F10" s="8" t="n">
        <f aca="false">C10*E10</f>
        <v>250</v>
      </c>
      <c r="G10" s="8" t="n">
        <f aca="false">E10 / 0.55</f>
        <v>4.54545454545455</v>
      </c>
      <c r="H10" s="8" t="n">
        <f aca="false">C10*G10</f>
        <v>454.545454545455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16</v>
      </c>
      <c r="D12" s="7" t="s">
        <v>36</v>
      </c>
      <c r="E12" s="8" t="n">
        <v>12</v>
      </c>
      <c r="F12" s="8" t="n">
        <f aca="false">C12*E12</f>
        <v>192</v>
      </c>
      <c r="G12" s="8" t="n">
        <f aca="false">E12 / 0.55</f>
        <v>21.8181818181818</v>
      </c>
      <c r="H12" s="8" t="n">
        <f aca="false">C12*G12</f>
        <v>349.090909090909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400</v>
      </c>
      <c r="D13" s="10" t="s">
        <v>34</v>
      </c>
      <c r="E13" s="11" t="n">
        <v>3.75</v>
      </c>
      <c r="F13" s="11" t="n">
        <f aca="false">C13*E13</f>
        <v>1500</v>
      </c>
      <c r="G13" s="11" t="n">
        <f aca="false">E13 / 0.55</f>
        <v>6.81818181818182</v>
      </c>
      <c r="H13" s="11" t="n">
        <f aca="false">C13*G13</f>
        <v>2727.27272727273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320</v>
      </c>
      <c r="D14" s="10" t="s">
        <v>34</v>
      </c>
      <c r="E14" s="11" t="n">
        <v>3.5</v>
      </c>
      <c r="F14" s="11" t="n">
        <f aca="false">C14*E14</f>
        <v>1120</v>
      </c>
      <c r="G14" s="11" t="n">
        <f aca="false">E14 / 0.55</f>
        <v>6.36363636363636</v>
      </c>
      <c r="H14" s="11" t="n">
        <f aca="false">C14*G14</f>
        <v>2036.36363636364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34</v>
      </c>
      <c r="D15" s="7" t="s">
        <v>31</v>
      </c>
      <c r="E15" s="8" t="n">
        <v>45</v>
      </c>
      <c r="F15" s="8" t="n">
        <f aca="false">C15*E15</f>
        <v>1530</v>
      </c>
      <c r="G15" s="8" t="n">
        <f aca="false">E15 / 0.55</f>
        <v>81.8181818181818</v>
      </c>
      <c r="H15" s="8" t="n">
        <f aca="false">C15*G15</f>
        <v>2781.81818181818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50</v>
      </c>
      <c r="D16" s="7" t="s">
        <v>34</v>
      </c>
      <c r="E16" s="8" t="n">
        <v>2.25</v>
      </c>
      <c r="F16" s="8" t="n">
        <f aca="false">C16*E16</f>
        <v>112.5</v>
      </c>
      <c r="G16" s="8" t="n">
        <f aca="false">E16 / 0.55</f>
        <v>4.09090909090909</v>
      </c>
      <c r="H16" s="8" t="n">
        <f aca="false">C16*G16</f>
        <v>204.545454545455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1200</v>
      </c>
      <c r="D17" s="7" t="s">
        <v>31</v>
      </c>
      <c r="E17" s="8" t="n">
        <v>0.08</v>
      </c>
      <c r="F17" s="8" t="n">
        <f aca="false">C17*E17</f>
        <v>96</v>
      </c>
      <c r="G17" s="8" t="n">
        <f aca="false">E17 / 0.55</f>
        <v>0.145454545454545</v>
      </c>
      <c r="H17" s="8" t="n">
        <f aca="false">C17*G17</f>
        <v>174.545454545455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54</v>
      </c>
      <c r="D18" s="10" t="s">
        <v>31</v>
      </c>
      <c r="E18" s="11" t="n">
        <v>35</v>
      </c>
      <c r="F18" s="11" t="n">
        <f aca="false">C18*E18</f>
        <v>1890</v>
      </c>
      <c r="G18" s="11" t="n">
        <f aca="false">E18 / 0.55</f>
        <v>63.6363636363636</v>
      </c>
      <c r="H18" s="11" t="n">
        <f aca="false">C18*G18</f>
        <v>3436.36363636364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800</v>
      </c>
      <c r="D19" s="10" t="s">
        <v>31</v>
      </c>
      <c r="E19" s="11" t="n">
        <v>0.08</v>
      </c>
      <c r="F19" s="11" t="n">
        <f aca="false">C19*E19</f>
        <v>64</v>
      </c>
      <c r="G19" s="11" t="n">
        <f aca="false">E19 / 0.55</f>
        <v>0.145454545454545</v>
      </c>
      <c r="H19" s="11" t="n">
        <f aca="false">C19*G19</f>
        <v>116.363636363636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100</v>
      </c>
      <c r="D20" s="7" t="s">
        <v>34</v>
      </c>
      <c r="E20" s="8" t="n">
        <v>1.25</v>
      </c>
      <c r="F20" s="8" t="n">
        <f aca="false">C20*E20</f>
        <v>125</v>
      </c>
      <c r="G20" s="8" t="n">
        <f aca="false">E20 / 0.55</f>
        <v>2.27272727272727</v>
      </c>
      <c r="H20" s="8" t="n">
        <f aca="false">C20*G20</f>
        <v>227.272727272727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61.8465843842649</v>
      </c>
      <c r="D21" s="7" t="s">
        <v>34</v>
      </c>
      <c r="E21" s="8" t="n">
        <v>1.5</v>
      </c>
      <c r="F21" s="8" t="n">
        <f aca="false">C21*E21</f>
        <v>92.7698765763974</v>
      </c>
      <c r="G21" s="8" t="n">
        <f aca="false">E21 / 0.55</f>
        <v>2.72727272727273</v>
      </c>
      <c r="H21" s="8" t="n">
        <f aca="false">C21*G21</f>
        <v>168.672502866177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160</v>
      </c>
      <c r="D23" s="7" t="s">
        <v>34</v>
      </c>
      <c r="E23" s="8" t="n">
        <v>0.75</v>
      </c>
      <c r="F23" s="8" t="n">
        <f aca="false">C23*E23</f>
        <v>120</v>
      </c>
      <c r="G23" s="8" t="n">
        <f aca="false">E23 / 0.55</f>
        <v>1.36363636363636</v>
      </c>
      <c r="H23" s="8" t="n">
        <f aca="false">C23*G23</f>
        <v>218.181818181818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64</v>
      </c>
      <c r="D24" s="10" t="s">
        <v>31</v>
      </c>
      <c r="E24" s="11" t="n">
        <v>0.35</v>
      </c>
      <c r="F24" s="11" t="n">
        <f aca="false">C24*E24</f>
        <v>22.4</v>
      </c>
      <c r="G24" s="11" t="n">
        <f aca="false">E24 / 0.55</f>
        <v>0.636363636363636</v>
      </c>
      <c r="H24" s="11" t="n">
        <f aca="false">C24*G24</f>
        <v>40.7272727272727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64</v>
      </c>
      <c r="D25" s="10" t="s">
        <v>31</v>
      </c>
      <c r="E25" s="11" t="n">
        <v>0.4</v>
      </c>
      <c r="F25" s="11" t="n">
        <f aca="false">C25*E25</f>
        <v>25.6</v>
      </c>
      <c r="G25" s="11" t="n">
        <f aca="false">E25 / 0.55</f>
        <v>0.727272727272727</v>
      </c>
      <c r="H25" s="11" t="n">
        <f aca="false">C25*G25</f>
        <v>46.5454545454546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480</v>
      </c>
      <c r="D26" s="10" t="s">
        <v>31</v>
      </c>
      <c r="E26" s="11" t="n">
        <v>0.12</v>
      </c>
      <c r="F26" s="11" t="n">
        <f aca="false">C26*E26</f>
        <v>57.6</v>
      </c>
      <c r="G26" s="11" t="n">
        <f aca="false">E26 / 0.55</f>
        <v>0.218181818181818</v>
      </c>
      <c r="H26" s="11" t="n">
        <f aca="false">C26*G26</f>
        <v>104.727272727273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8</v>
      </c>
      <c r="D27" s="10" t="s">
        <v>58</v>
      </c>
      <c r="E27" s="11" t="n">
        <v>8.5</v>
      </c>
      <c r="F27" s="11" t="n">
        <f aca="false">C27*E27</f>
        <v>68</v>
      </c>
      <c r="G27" s="11" t="n">
        <f aca="false">E27 / 0.55</f>
        <v>15.4545454545455</v>
      </c>
      <c r="H27" s="11" t="n">
        <f aca="false">C27*G27</f>
        <v>123.636363636364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2</v>
      </c>
      <c r="D28" s="10" t="s">
        <v>60</v>
      </c>
      <c r="E28" s="11" t="n">
        <v>12</v>
      </c>
      <c r="F28" s="11" t="n">
        <f aca="false">C28*E28</f>
        <v>24</v>
      </c>
      <c r="G28" s="11" t="n">
        <f aca="false">E28 / 0.55</f>
        <v>21.8181818181818</v>
      </c>
      <c r="H28" s="11" t="n">
        <f aca="false">C28*G28</f>
        <v>43.6363636363636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10004.8698765764</v>
      </c>
      <c r="G30" s="14"/>
      <c r="H30" s="15" t="n">
        <f aca="false">SUM(H8:H29)</f>
        <v>18190.6725028662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67</v>
      </c>
    </row>
    <row r="4" customFormat="false" ht="15" hidden="false" customHeight="false" outlineLevel="0" collapsed="false">
      <c r="A4" s="1" t="s">
        <v>19</v>
      </c>
      <c r="B4" s="1" t="n">
        <v>1600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16</v>
      </c>
      <c r="D8" s="7" t="s">
        <v>31</v>
      </c>
      <c r="E8" s="8" t="n">
        <v>45</v>
      </c>
      <c r="F8" s="8" t="n">
        <f aca="false">C8*E8</f>
        <v>720</v>
      </c>
      <c r="G8" s="8" t="n">
        <f aca="false">E8 / 0.55</f>
        <v>81.8181818181818</v>
      </c>
      <c r="H8" s="8" t="n">
        <f aca="false">C8*G8</f>
        <v>1309.09090909091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5</v>
      </c>
      <c r="D9" s="7" t="s">
        <v>31</v>
      </c>
      <c r="E9" s="8" t="n">
        <v>250</v>
      </c>
      <c r="F9" s="8" t="n">
        <f aca="false">C9*E9</f>
        <v>1250</v>
      </c>
      <c r="G9" s="8" t="n">
        <f aca="false">E9 / 0.55</f>
        <v>454.545454545455</v>
      </c>
      <c r="H9" s="8" t="n">
        <f aca="false">C9*G9</f>
        <v>2272.72727272727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80</v>
      </c>
      <c r="D10" s="7" t="s">
        <v>34</v>
      </c>
      <c r="E10" s="8" t="n">
        <v>2.5</v>
      </c>
      <c r="F10" s="8" t="n">
        <f aca="false">C10*E10</f>
        <v>200</v>
      </c>
      <c r="G10" s="8" t="n">
        <f aca="false">E10 / 0.55</f>
        <v>4.54545454545455</v>
      </c>
      <c r="H10" s="8" t="n">
        <f aca="false">C10*G10</f>
        <v>363.636363636364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16</v>
      </c>
      <c r="D12" s="7" t="s">
        <v>36</v>
      </c>
      <c r="E12" s="8" t="n">
        <v>12</v>
      </c>
      <c r="F12" s="8" t="n">
        <f aca="false">C12*E12</f>
        <v>192</v>
      </c>
      <c r="G12" s="8" t="n">
        <f aca="false">E12 / 0.55</f>
        <v>21.8181818181818</v>
      </c>
      <c r="H12" s="8" t="n">
        <f aca="false">C12*G12</f>
        <v>349.090909090909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400</v>
      </c>
      <c r="D13" s="10" t="s">
        <v>34</v>
      </c>
      <c r="E13" s="11" t="n">
        <v>3.75</v>
      </c>
      <c r="F13" s="11" t="n">
        <f aca="false">C13*E13</f>
        <v>1500</v>
      </c>
      <c r="G13" s="11" t="n">
        <f aca="false">E13 / 0.55</f>
        <v>6.81818181818182</v>
      </c>
      <c r="H13" s="11" t="n">
        <f aca="false">C13*G13</f>
        <v>2727.27272727273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320</v>
      </c>
      <c r="D14" s="10" t="s">
        <v>34</v>
      </c>
      <c r="E14" s="11" t="n">
        <v>3.5</v>
      </c>
      <c r="F14" s="11" t="n">
        <f aca="false">C14*E14</f>
        <v>1120</v>
      </c>
      <c r="G14" s="11" t="n">
        <f aca="false">E14 / 0.55</f>
        <v>6.36363636363636</v>
      </c>
      <c r="H14" s="11" t="n">
        <f aca="false">C14*G14</f>
        <v>2036.36363636364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28</v>
      </c>
      <c r="D15" s="7" t="s">
        <v>31</v>
      </c>
      <c r="E15" s="8" t="n">
        <v>45</v>
      </c>
      <c r="F15" s="8" t="n">
        <f aca="false">C15*E15</f>
        <v>1260</v>
      </c>
      <c r="G15" s="8" t="n">
        <f aca="false">E15 / 0.55</f>
        <v>81.8181818181818</v>
      </c>
      <c r="H15" s="8" t="n">
        <f aca="false">C15*G15</f>
        <v>2290.90909090909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40</v>
      </c>
      <c r="D16" s="7" t="s">
        <v>34</v>
      </c>
      <c r="E16" s="8" t="n">
        <v>2.25</v>
      </c>
      <c r="F16" s="8" t="n">
        <f aca="false">C16*E16</f>
        <v>90</v>
      </c>
      <c r="G16" s="8" t="n">
        <f aca="false">E16 / 0.55</f>
        <v>4.09090909090909</v>
      </c>
      <c r="H16" s="8" t="n">
        <f aca="false">C16*G16</f>
        <v>163.636363636364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1280</v>
      </c>
      <c r="D17" s="7" t="s">
        <v>31</v>
      </c>
      <c r="E17" s="8" t="n">
        <v>0.08</v>
      </c>
      <c r="F17" s="8" t="n">
        <f aca="false">C17*E17</f>
        <v>102.4</v>
      </c>
      <c r="G17" s="8" t="n">
        <f aca="false">E17 / 0.55</f>
        <v>0.145454545454545</v>
      </c>
      <c r="H17" s="8" t="n">
        <f aca="false">C17*G17</f>
        <v>186.181818181818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54</v>
      </c>
      <c r="D18" s="10" t="s">
        <v>31</v>
      </c>
      <c r="E18" s="11" t="n">
        <v>35</v>
      </c>
      <c r="F18" s="11" t="n">
        <f aca="false">C18*E18</f>
        <v>1890</v>
      </c>
      <c r="G18" s="11" t="n">
        <f aca="false">E18 / 0.55</f>
        <v>63.6363636363636</v>
      </c>
      <c r="H18" s="11" t="n">
        <f aca="false">C18*G18</f>
        <v>3436.36363636364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800</v>
      </c>
      <c r="D19" s="10" t="s">
        <v>31</v>
      </c>
      <c r="E19" s="11" t="n">
        <v>0.08</v>
      </c>
      <c r="F19" s="11" t="n">
        <f aca="false">C19*E19</f>
        <v>64</v>
      </c>
      <c r="G19" s="11" t="n">
        <f aca="false">E19 / 0.55</f>
        <v>0.145454545454545</v>
      </c>
      <c r="H19" s="11" t="n">
        <f aca="false">C19*G19</f>
        <v>116.363636363636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80</v>
      </c>
      <c r="D20" s="7" t="s">
        <v>34</v>
      </c>
      <c r="E20" s="8" t="n">
        <v>1.25</v>
      </c>
      <c r="F20" s="8" t="n">
        <f aca="false">C20*E20</f>
        <v>100</v>
      </c>
      <c r="G20" s="8" t="n">
        <f aca="false">E20 / 0.55</f>
        <v>2.27272727272727</v>
      </c>
      <c r="H20" s="8" t="n">
        <f aca="false">C20*G20</f>
        <v>181.818181818182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82.4621125123532</v>
      </c>
      <c r="D21" s="7" t="s">
        <v>34</v>
      </c>
      <c r="E21" s="8" t="n">
        <v>1.5</v>
      </c>
      <c r="F21" s="8" t="n">
        <f aca="false">C21*E21</f>
        <v>123.69316876853</v>
      </c>
      <c r="G21" s="8" t="n">
        <f aca="false">E21 / 0.55</f>
        <v>2.72727272727273</v>
      </c>
      <c r="H21" s="8" t="n">
        <f aca="false">C21*G21</f>
        <v>224.896670488236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160</v>
      </c>
      <c r="D23" s="7" t="s">
        <v>34</v>
      </c>
      <c r="E23" s="8" t="n">
        <v>0.75</v>
      </c>
      <c r="F23" s="8" t="n">
        <f aca="false">C23*E23</f>
        <v>120</v>
      </c>
      <c r="G23" s="8" t="n">
        <f aca="false">E23 / 0.55</f>
        <v>1.36363636363636</v>
      </c>
      <c r="H23" s="8" t="n">
        <f aca="false">C23*G23</f>
        <v>218.181818181818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64</v>
      </c>
      <c r="D24" s="10" t="s">
        <v>31</v>
      </c>
      <c r="E24" s="11" t="n">
        <v>0.35</v>
      </c>
      <c r="F24" s="11" t="n">
        <f aca="false">C24*E24</f>
        <v>22.4</v>
      </c>
      <c r="G24" s="11" t="n">
        <f aca="false">E24 / 0.55</f>
        <v>0.636363636363636</v>
      </c>
      <c r="H24" s="11" t="n">
        <f aca="false">C24*G24</f>
        <v>40.7272727272727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64</v>
      </c>
      <c r="D25" s="10" t="s">
        <v>31</v>
      </c>
      <c r="E25" s="11" t="n">
        <v>0.4</v>
      </c>
      <c r="F25" s="11" t="n">
        <f aca="false">C25*E25</f>
        <v>25.6</v>
      </c>
      <c r="G25" s="11" t="n">
        <f aca="false">E25 / 0.55</f>
        <v>0.727272727272727</v>
      </c>
      <c r="H25" s="11" t="n">
        <f aca="false">C25*G25</f>
        <v>46.5454545454546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480</v>
      </c>
      <c r="D26" s="10" t="s">
        <v>31</v>
      </c>
      <c r="E26" s="11" t="n">
        <v>0.12</v>
      </c>
      <c r="F26" s="11" t="n">
        <f aca="false">C26*E26</f>
        <v>57.6</v>
      </c>
      <c r="G26" s="11" t="n">
        <f aca="false">E26 / 0.55</f>
        <v>0.218181818181818</v>
      </c>
      <c r="H26" s="11" t="n">
        <f aca="false">C26*G26</f>
        <v>104.727272727273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8</v>
      </c>
      <c r="D27" s="10" t="s">
        <v>58</v>
      </c>
      <c r="E27" s="11" t="n">
        <v>8.5</v>
      </c>
      <c r="F27" s="11" t="n">
        <f aca="false">C27*E27</f>
        <v>68</v>
      </c>
      <c r="G27" s="11" t="n">
        <f aca="false">E27 / 0.55</f>
        <v>15.4545454545455</v>
      </c>
      <c r="H27" s="11" t="n">
        <f aca="false">C27*G27</f>
        <v>123.636363636364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2</v>
      </c>
      <c r="D28" s="10" t="s">
        <v>60</v>
      </c>
      <c r="E28" s="11" t="n">
        <v>12</v>
      </c>
      <c r="F28" s="11" t="n">
        <f aca="false">C28*E28</f>
        <v>24</v>
      </c>
      <c r="G28" s="11" t="n">
        <f aca="false">E28 / 0.55</f>
        <v>21.8181818181818</v>
      </c>
      <c r="H28" s="11" t="n">
        <f aca="false">C28*G28</f>
        <v>43.6363636363636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9424.69316876853</v>
      </c>
      <c r="G30" s="14"/>
      <c r="H30" s="15" t="n">
        <f aca="false">SUM(H8:H29)</f>
        <v>17135.8057613973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68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69</v>
      </c>
    </row>
    <row r="4" customFormat="false" ht="15" hidden="false" customHeight="false" outlineLevel="0" collapsed="false">
      <c r="A4" s="1" t="s">
        <v>19</v>
      </c>
      <c r="B4" s="1" t="n">
        <v>2000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18</v>
      </c>
      <c r="D8" s="7" t="s">
        <v>31</v>
      </c>
      <c r="E8" s="8" t="n">
        <v>45</v>
      </c>
      <c r="F8" s="8" t="n">
        <f aca="false">C8*E8</f>
        <v>810</v>
      </c>
      <c r="G8" s="8" t="n">
        <f aca="false">E8 / 0.55</f>
        <v>81.8181818181818</v>
      </c>
      <c r="H8" s="8" t="n">
        <f aca="false">C8*G8</f>
        <v>1472.72727272727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6</v>
      </c>
      <c r="D9" s="7" t="s">
        <v>31</v>
      </c>
      <c r="E9" s="8" t="n">
        <v>250</v>
      </c>
      <c r="F9" s="8" t="n">
        <f aca="false">C9*E9</f>
        <v>1500</v>
      </c>
      <c r="G9" s="8" t="n">
        <f aca="false">E9 / 0.55</f>
        <v>454.545454545455</v>
      </c>
      <c r="H9" s="8" t="n">
        <f aca="false">C9*G9</f>
        <v>2727.27272727273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100</v>
      </c>
      <c r="D10" s="7" t="s">
        <v>34</v>
      </c>
      <c r="E10" s="8" t="n">
        <v>2.5</v>
      </c>
      <c r="F10" s="8" t="n">
        <f aca="false">C10*E10</f>
        <v>250</v>
      </c>
      <c r="G10" s="8" t="n">
        <f aca="false">E10 / 0.55</f>
        <v>4.54545454545455</v>
      </c>
      <c r="H10" s="8" t="n">
        <f aca="false">C10*G10</f>
        <v>454.545454545455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18</v>
      </c>
      <c r="D12" s="7" t="s">
        <v>36</v>
      </c>
      <c r="E12" s="8" t="n">
        <v>12</v>
      </c>
      <c r="F12" s="8" t="n">
        <f aca="false">C12*E12</f>
        <v>216</v>
      </c>
      <c r="G12" s="8" t="n">
        <f aca="false">E12 / 0.55</f>
        <v>21.8181818181818</v>
      </c>
      <c r="H12" s="8" t="n">
        <f aca="false">C12*G12</f>
        <v>392.727272727273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500</v>
      </c>
      <c r="D13" s="10" t="s">
        <v>34</v>
      </c>
      <c r="E13" s="11" t="n">
        <v>3.75</v>
      </c>
      <c r="F13" s="11" t="n">
        <f aca="false">C13*E13</f>
        <v>1875</v>
      </c>
      <c r="G13" s="11" t="n">
        <f aca="false">E13 / 0.55</f>
        <v>6.81818181818182</v>
      </c>
      <c r="H13" s="11" t="n">
        <f aca="false">C13*G13</f>
        <v>3409.09090909091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360</v>
      </c>
      <c r="D14" s="10" t="s">
        <v>34</v>
      </c>
      <c r="E14" s="11" t="n">
        <v>3.5</v>
      </c>
      <c r="F14" s="11" t="n">
        <f aca="false">C14*E14</f>
        <v>1260</v>
      </c>
      <c r="G14" s="11" t="n">
        <f aca="false">E14 / 0.55</f>
        <v>6.36363636363636</v>
      </c>
      <c r="H14" s="11" t="n">
        <f aca="false">C14*G14</f>
        <v>2290.90909090909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34</v>
      </c>
      <c r="D15" s="7" t="s">
        <v>31</v>
      </c>
      <c r="E15" s="8" t="n">
        <v>45</v>
      </c>
      <c r="F15" s="8" t="n">
        <f aca="false">C15*E15</f>
        <v>1530</v>
      </c>
      <c r="G15" s="8" t="n">
        <f aca="false">E15 / 0.55</f>
        <v>81.8181818181818</v>
      </c>
      <c r="H15" s="8" t="n">
        <f aca="false">C15*G15</f>
        <v>2781.81818181818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50</v>
      </c>
      <c r="D16" s="7" t="s">
        <v>34</v>
      </c>
      <c r="E16" s="8" t="n">
        <v>2.25</v>
      </c>
      <c r="F16" s="8" t="n">
        <f aca="false">C16*E16</f>
        <v>112.5</v>
      </c>
      <c r="G16" s="8" t="n">
        <f aca="false">E16 / 0.55</f>
        <v>4.09090909090909</v>
      </c>
      <c r="H16" s="8" t="n">
        <f aca="false">C16*G16</f>
        <v>204.545454545455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1600</v>
      </c>
      <c r="D17" s="7" t="s">
        <v>31</v>
      </c>
      <c r="E17" s="8" t="n">
        <v>0.08</v>
      </c>
      <c r="F17" s="8" t="n">
        <f aca="false">C17*E17</f>
        <v>128</v>
      </c>
      <c r="G17" s="8" t="n">
        <f aca="false">E17 / 0.55</f>
        <v>0.145454545454545</v>
      </c>
      <c r="H17" s="8" t="n">
        <f aca="false">C17*G17</f>
        <v>232.727272727273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60</v>
      </c>
      <c r="D18" s="10" t="s">
        <v>31</v>
      </c>
      <c r="E18" s="11" t="n">
        <v>35</v>
      </c>
      <c r="F18" s="11" t="n">
        <f aca="false">C18*E18</f>
        <v>2100</v>
      </c>
      <c r="G18" s="11" t="n">
        <f aca="false">E18 / 0.55</f>
        <v>63.6363636363636</v>
      </c>
      <c r="H18" s="11" t="n">
        <f aca="false">C18*G18</f>
        <v>3818.18181818182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900</v>
      </c>
      <c r="D19" s="10" t="s">
        <v>31</v>
      </c>
      <c r="E19" s="11" t="n">
        <v>0.08</v>
      </c>
      <c r="F19" s="11" t="n">
        <f aca="false">C19*E19</f>
        <v>72</v>
      </c>
      <c r="G19" s="11" t="n">
        <f aca="false">E19 / 0.55</f>
        <v>0.145454545454545</v>
      </c>
      <c r="H19" s="11" t="n">
        <f aca="false">C19*G19</f>
        <v>130.909090909091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100</v>
      </c>
      <c r="D20" s="7" t="s">
        <v>34</v>
      </c>
      <c r="E20" s="8" t="n">
        <v>1.25</v>
      </c>
      <c r="F20" s="8" t="n">
        <f aca="false">C20*E20</f>
        <v>125</v>
      </c>
      <c r="G20" s="8" t="n">
        <f aca="false">E20 / 0.55</f>
        <v>2.27272727272727</v>
      </c>
      <c r="H20" s="8" t="n">
        <f aca="false">C20*G20</f>
        <v>227.272727272727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82.4621125123532</v>
      </c>
      <c r="D21" s="7" t="s">
        <v>34</v>
      </c>
      <c r="E21" s="8" t="n">
        <v>1.5</v>
      </c>
      <c r="F21" s="8" t="n">
        <f aca="false">C21*E21</f>
        <v>123.69316876853</v>
      </c>
      <c r="G21" s="8" t="n">
        <f aca="false">E21 / 0.55</f>
        <v>2.72727272727273</v>
      </c>
      <c r="H21" s="8" t="n">
        <f aca="false">C21*G21</f>
        <v>224.896670488236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180</v>
      </c>
      <c r="D23" s="7" t="s">
        <v>34</v>
      </c>
      <c r="E23" s="8" t="n">
        <v>0.75</v>
      </c>
      <c r="F23" s="8" t="n">
        <f aca="false">C23*E23</f>
        <v>135</v>
      </c>
      <c r="G23" s="8" t="n">
        <f aca="false">E23 / 0.55</f>
        <v>1.36363636363636</v>
      </c>
      <c r="H23" s="8" t="n">
        <f aca="false">C23*G23</f>
        <v>245.454545454545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72</v>
      </c>
      <c r="D24" s="10" t="s">
        <v>31</v>
      </c>
      <c r="E24" s="11" t="n">
        <v>0.35</v>
      </c>
      <c r="F24" s="11" t="n">
        <f aca="false">C24*E24</f>
        <v>25.2</v>
      </c>
      <c r="G24" s="11" t="n">
        <f aca="false">E24 / 0.55</f>
        <v>0.636363636363636</v>
      </c>
      <c r="H24" s="11" t="n">
        <f aca="false">C24*G24</f>
        <v>45.8181818181818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72</v>
      </c>
      <c r="D25" s="10" t="s">
        <v>31</v>
      </c>
      <c r="E25" s="11" t="n">
        <v>0.4</v>
      </c>
      <c r="F25" s="11" t="n">
        <f aca="false">C25*E25</f>
        <v>28.8</v>
      </c>
      <c r="G25" s="11" t="n">
        <f aca="false">E25 / 0.55</f>
        <v>0.727272727272727</v>
      </c>
      <c r="H25" s="11" t="n">
        <f aca="false">C25*G25</f>
        <v>52.3636363636364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600</v>
      </c>
      <c r="D26" s="10" t="s">
        <v>31</v>
      </c>
      <c r="E26" s="11" t="n">
        <v>0.12</v>
      </c>
      <c r="F26" s="11" t="n">
        <f aca="false">C26*E26</f>
        <v>72</v>
      </c>
      <c r="G26" s="11" t="n">
        <f aca="false">E26 / 0.55</f>
        <v>0.218181818181818</v>
      </c>
      <c r="H26" s="11" t="n">
        <f aca="false">C26*G26</f>
        <v>130.909090909091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9</v>
      </c>
      <c r="D27" s="10" t="s">
        <v>58</v>
      </c>
      <c r="E27" s="11" t="n">
        <v>8.5</v>
      </c>
      <c r="F27" s="11" t="n">
        <f aca="false">C27*E27</f>
        <v>76.5</v>
      </c>
      <c r="G27" s="11" t="n">
        <f aca="false">E27 / 0.55</f>
        <v>15.4545454545455</v>
      </c>
      <c r="H27" s="11" t="n">
        <f aca="false">C27*G27</f>
        <v>139.090909090909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2</v>
      </c>
      <c r="D28" s="10" t="s">
        <v>60</v>
      </c>
      <c r="E28" s="11" t="n">
        <v>12</v>
      </c>
      <c r="F28" s="11" t="n">
        <f aca="false">C28*E28</f>
        <v>24</v>
      </c>
      <c r="G28" s="11" t="n">
        <f aca="false">E28 / 0.55</f>
        <v>21.8181818181818</v>
      </c>
      <c r="H28" s="11" t="n">
        <f aca="false">C28*G28</f>
        <v>43.6363636363636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10958.6931687685</v>
      </c>
      <c r="G30" s="14"/>
      <c r="H30" s="15" t="n">
        <f aca="false">SUM(H8:H29)</f>
        <v>19924.8966704882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71</v>
      </c>
    </row>
    <row r="4" customFormat="false" ht="15" hidden="false" customHeight="false" outlineLevel="0" collapsed="false">
      <c r="A4" s="1" t="s">
        <v>19</v>
      </c>
      <c r="B4" s="1" t="n">
        <v>2400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20</v>
      </c>
      <c r="D8" s="7" t="s">
        <v>31</v>
      </c>
      <c r="E8" s="8" t="n">
        <v>45</v>
      </c>
      <c r="F8" s="8" t="n">
        <f aca="false">C8*E8</f>
        <v>900</v>
      </c>
      <c r="G8" s="8" t="n">
        <f aca="false">E8 / 0.55</f>
        <v>81.8181818181818</v>
      </c>
      <c r="H8" s="8" t="n">
        <f aca="false">C8*G8</f>
        <v>1636.36363636364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7</v>
      </c>
      <c r="D9" s="7" t="s">
        <v>31</v>
      </c>
      <c r="E9" s="8" t="n">
        <v>250</v>
      </c>
      <c r="F9" s="8" t="n">
        <f aca="false">C9*E9</f>
        <v>1750</v>
      </c>
      <c r="G9" s="8" t="n">
        <f aca="false">E9 / 0.55</f>
        <v>454.545454545455</v>
      </c>
      <c r="H9" s="8" t="n">
        <f aca="false">C9*G9</f>
        <v>3181.81818181818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120</v>
      </c>
      <c r="D10" s="7" t="s">
        <v>34</v>
      </c>
      <c r="E10" s="8" t="n">
        <v>2.5</v>
      </c>
      <c r="F10" s="8" t="n">
        <f aca="false">C10*E10</f>
        <v>300</v>
      </c>
      <c r="G10" s="8" t="n">
        <f aca="false">E10 / 0.55</f>
        <v>4.54545454545455</v>
      </c>
      <c r="H10" s="8" t="n">
        <f aca="false">C10*G10</f>
        <v>545.454545454545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20</v>
      </c>
      <c r="D12" s="7" t="s">
        <v>36</v>
      </c>
      <c r="E12" s="8" t="n">
        <v>12</v>
      </c>
      <c r="F12" s="8" t="n">
        <f aca="false">C12*E12</f>
        <v>240</v>
      </c>
      <c r="G12" s="8" t="n">
        <f aca="false">E12 / 0.55</f>
        <v>21.8181818181818</v>
      </c>
      <c r="H12" s="8" t="n">
        <f aca="false">C12*G12</f>
        <v>436.363636363636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600</v>
      </c>
      <c r="D13" s="10" t="s">
        <v>34</v>
      </c>
      <c r="E13" s="11" t="n">
        <v>3.75</v>
      </c>
      <c r="F13" s="11" t="n">
        <f aca="false">C13*E13</f>
        <v>2250</v>
      </c>
      <c r="G13" s="11" t="n">
        <f aca="false">E13 / 0.55</f>
        <v>6.81818181818182</v>
      </c>
      <c r="H13" s="11" t="n">
        <f aca="false">C13*G13</f>
        <v>4090.90909090909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400</v>
      </c>
      <c r="D14" s="10" t="s">
        <v>34</v>
      </c>
      <c r="E14" s="11" t="n">
        <v>3.5</v>
      </c>
      <c r="F14" s="11" t="n">
        <f aca="false">C14*E14</f>
        <v>1400</v>
      </c>
      <c r="G14" s="11" t="n">
        <f aca="false">E14 / 0.55</f>
        <v>6.36363636363636</v>
      </c>
      <c r="H14" s="11" t="n">
        <f aca="false">C14*G14</f>
        <v>2545.45454545455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40</v>
      </c>
      <c r="D15" s="7" t="s">
        <v>31</v>
      </c>
      <c r="E15" s="8" t="n">
        <v>45</v>
      </c>
      <c r="F15" s="8" t="n">
        <f aca="false">C15*E15</f>
        <v>1800</v>
      </c>
      <c r="G15" s="8" t="n">
        <f aca="false">E15 / 0.55</f>
        <v>81.8181818181818</v>
      </c>
      <c r="H15" s="8" t="n">
        <f aca="false">C15*G15</f>
        <v>3272.72727272727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60</v>
      </c>
      <c r="D16" s="7" t="s">
        <v>34</v>
      </c>
      <c r="E16" s="8" t="n">
        <v>2.25</v>
      </c>
      <c r="F16" s="8" t="n">
        <f aca="false">C16*E16</f>
        <v>135</v>
      </c>
      <c r="G16" s="8" t="n">
        <f aca="false">E16 / 0.55</f>
        <v>4.09090909090909</v>
      </c>
      <c r="H16" s="8" t="n">
        <f aca="false">C16*G16</f>
        <v>245.454545454545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1920</v>
      </c>
      <c r="D17" s="7" t="s">
        <v>31</v>
      </c>
      <c r="E17" s="8" t="n">
        <v>0.08</v>
      </c>
      <c r="F17" s="8" t="n">
        <f aca="false">C17*E17</f>
        <v>153.6</v>
      </c>
      <c r="G17" s="8" t="n">
        <f aca="false">E17 / 0.55</f>
        <v>0.145454545454545</v>
      </c>
      <c r="H17" s="8" t="n">
        <f aca="false">C17*G17</f>
        <v>279.272727272727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67</v>
      </c>
      <c r="D18" s="10" t="s">
        <v>31</v>
      </c>
      <c r="E18" s="11" t="n">
        <v>35</v>
      </c>
      <c r="F18" s="11" t="n">
        <f aca="false">C18*E18</f>
        <v>2345</v>
      </c>
      <c r="G18" s="11" t="n">
        <f aca="false">E18 / 0.55</f>
        <v>63.6363636363636</v>
      </c>
      <c r="H18" s="11" t="n">
        <f aca="false">C18*G18</f>
        <v>4263.63636363636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1000</v>
      </c>
      <c r="D19" s="10" t="s">
        <v>31</v>
      </c>
      <c r="E19" s="11" t="n">
        <v>0.08</v>
      </c>
      <c r="F19" s="11" t="n">
        <f aca="false">C19*E19</f>
        <v>80</v>
      </c>
      <c r="G19" s="11" t="n">
        <f aca="false">E19 / 0.55</f>
        <v>0.145454545454545</v>
      </c>
      <c r="H19" s="11" t="n">
        <f aca="false">C19*G19</f>
        <v>145.454545454545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120</v>
      </c>
      <c r="D20" s="7" t="s">
        <v>34</v>
      </c>
      <c r="E20" s="8" t="n">
        <v>1.25</v>
      </c>
      <c r="F20" s="8" t="n">
        <f aca="false">C20*E20</f>
        <v>150</v>
      </c>
      <c r="G20" s="8" t="n">
        <f aca="false">E20 / 0.55</f>
        <v>2.27272727272727</v>
      </c>
      <c r="H20" s="8" t="n">
        <f aca="false">C20*G20</f>
        <v>272.727272727273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82.4621125123532</v>
      </c>
      <c r="D21" s="7" t="s">
        <v>34</v>
      </c>
      <c r="E21" s="8" t="n">
        <v>1.5</v>
      </c>
      <c r="F21" s="8" t="n">
        <f aca="false">C21*E21</f>
        <v>123.69316876853</v>
      </c>
      <c r="G21" s="8" t="n">
        <f aca="false">E21 / 0.55</f>
        <v>2.72727272727273</v>
      </c>
      <c r="H21" s="8" t="n">
        <f aca="false">C21*G21</f>
        <v>224.896670488236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200</v>
      </c>
      <c r="D23" s="7" t="s">
        <v>34</v>
      </c>
      <c r="E23" s="8" t="n">
        <v>0.75</v>
      </c>
      <c r="F23" s="8" t="n">
        <f aca="false">C23*E23</f>
        <v>150</v>
      </c>
      <c r="G23" s="8" t="n">
        <f aca="false">E23 / 0.55</f>
        <v>1.36363636363636</v>
      </c>
      <c r="H23" s="8" t="n">
        <f aca="false">C23*G23</f>
        <v>272.727272727273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80</v>
      </c>
      <c r="D24" s="10" t="s">
        <v>31</v>
      </c>
      <c r="E24" s="11" t="n">
        <v>0.35</v>
      </c>
      <c r="F24" s="11" t="n">
        <f aca="false">C24*E24</f>
        <v>28</v>
      </c>
      <c r="G24" s="11" t="n">
        <f aca="false">E24 / 0.55</f>
        <v>0.636363636363636</v>
      </c>
      <c r="H24" s="11" t="n">
        <f aca="false">C24*G24</f>
        <v>50.9090909090909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80</v>
      </c>
      <c r="D25" s="10" t="s">
        <v>31</v>
      </c>
      <c r="E25" s="11" t="n">
        <v>0.4</v>
      </c>
      <c r="F25" s="11" t="n">
        <f aca="false">C25*E25</f>
        <v>32</v>
      </c>
      <c r="G25" s="11" t="n">
        <f aca="false">E25 / 0.55</f>
        <v>0.727272727272727</v>
      </c>
      <c r="H25" s="11" t="n">
        <f aca="false">C25*G25</f>
        <v>58.1818181818182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720</v>
      </c>
      <c r="D26" s="10" t="s">
        <v>31</v>
      </c>
      <c r="E26" s="11" t="n">
        <v>0.12</v>
      </c>
      <c r="F26" s="11" t="n">
        <f aca="false">C26*E26</f>
        <v>86.4</v>
      </c>
      <c r="G26" s="11" t="n">
        <f aca="false">E26 / 0.55</f>
        <v>0.218181818181818</v>
      </c>
      <c r="H26" s="11" t="n">
        <f aca="false">C26*G26</f>
        <v>157.090909090909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10</v>
      </c>
      <c r="D27" s="10" t="s">
        <v>58</v>
      </c>
      <c r="E27" s="11" t="n">
        <v>8.5</v>
      </c>
      <c r="F27" s="11" t="n">
        <f aca="false">C27*E27</f>
        <v>85</v>
      </c>
      <c r="G27" s="11" t="n">
        <f aca="false">E27 / 0.55</f>
        <v>15.4545454545455</v>
      </c>
      <c r="H27" s="11" t="n">
        <f aca="false">C27*G27</f>
        <v>154.545454545455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3</v>
      </c>
      <c r="D28" s="10" t="s">
        <v>60</v>
      </c>
      <c r="E28" s="11" t="n">
        <v>12</v>
      </c>
      <c r="F28" s="11" t="n">
        <f aca="false">C28*E28</f>
        <v>36</v>
      </c>
      <c r="G28" s="11" t="n">
        <f aca="false">E28 / 0.55</f>
        <v>21.8181818181818</v>
      </c>
      <c r="H28" s="11" t="n">
        <f aca="false">C28*G28</f>
        <v>65.4545454545455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12539.6931687685</v>
      </c>
      <c r="G30" s="14"/>
      <c r="H30" s="15" t="n">
        <f aca="false">SUM(H8:H29)</f>
        <v>22799.4421250337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72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73</v>
      </c>
    </row>
    <row r="4" customFormat="false" ht="15" hidden="false" customHeight="false" outlineLevel="0" collapsed="false">
      <c r="A4" s="1" t="s">
        <v>19</v>
      </c>
      <c r="B4" s="1" t="n">
        <v>2500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20</v>
      </c>
      <c r="D8" s="7" t="s">
        <v>31</v>
      </c>
      <c r="E8" s="8" t="n">
        <v>45</v>
      </c>
      <c r="F8" s="8" t="n">
        <f aca="false">C8*E8</f>
        <v>900</v>
      </c>
      <c r="G8" s="8" t="n">
        <f aca="false">E8 / 0.55</f>
        <v>81.8181818181818</v>
      </c>
      <c r="H8" s="8" t="n">
        <f aca="false">C8*G8</f>
        <v>1636.36363636364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6</v>
      </c>
      <c r="D9" s="7" t="s">
        <v>31</v>
      </c>
      <c r="E9" s="8" t="n">
        <v>250</v>
      </c>
      <c r="F9" s="8" t="n">
        <f aca="false">C9*E9</f>
        <v>1500</v>
      </c>
      <c r="G9" s="8" t="n">
        <f aca="false">E9 / 0.55</f>
        <v>454.545454545455</v>
      </c>
      <c r="H9" s="8" t="n">
        <f aca="false">C9*G9</f>
        <v>2727.27272727273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100</v>
      </c>
      <c r="D10" s="7" t="s">
        <v>34</v>
      </c>
      <c r="E10" s="8" t="n">
        <v>2.5</v>
      </c>
      <c r="F10" s="8" t="n">
        <f aca="false">C10*E10</f>
        <v>250</v>
      </c>
      <c r="G10" s="8" t="n">
        <f aca="false">E10 / 0.55</f>
        <v>4.54545454545455</v>
      </c>
      <c r="H10" s="8" t="n">
        <f aca="false">C10*G10</f>
        <v>454.545454545455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20</v>
      </c>
      <c r="D12" s="7" t="s">
        <v>36</v>
      </c>
      <c r="E12" s="8" t="n">
        <v>12</v>
      </c>
      <c r="F12" s="8" t="n">
        <f aca="false">C12*E12</f>
        <v>240</v>
      </c>
      <c r="G12" s="8" t="n">
        <f aca="false">E12 / 0.55</f>
        <v>21.8181818181818</v>
      </c>
      <c r="H12" s="8" t="n">
        <f aca="false">C12*G12</f>
        <v>436.363636363636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600</v>
      </c>
      <c r="D13" s="10" t="s">
        <v>34</v>
      </c>
      <c r="E13" s="11" t="n">
        <v>3.75</v>
      </c>
      <c r="F13" s="11" t="n">
        <f aca="false">C13*E13</f>
        <v>2250</v>
      </c>
      <c r="G13" s="11" t="n">
        <f aca="false">E13 / 0.55</f>
        <v>6.81818181818182</v>
      </c>
      <c r="H13" s="11" t="n">
        <f aca="false">C13*G13</f>
        <v>4090.90909090909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400</v>
      </c>
      <c r="D14" s="10" t="s">
        <v>34</v>
      </c>
      <c r="E14" s="11" t="n">
        <v>3.5</v>
      </c>
      <c r="F14" s="11" t="n">
        <f aca="false">C14*E14</f>
        <v>1400</v>
      </c>
      <c r="G14" s="11" t="n">
        <f aca="false">E14 / 0.55</f>
        <v>6.36363636363636</v>
      </c>
      <c r="H14" s="11" t="n">
        <f aca="false">C14*G14</f>
        <v>2545.45454545455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34</v>
      </c>
      <c r="D15" s="7" t="s">
        <v>31</v>
      </c>
      <c r="E15" s="8" t="n">
        <v>45</v>
      </c>
      <c r="F15" s="8" t="n">
        <f aca="false">C15*E15</f>
        <v>1530</v>
      </c>
      <c r="G15" s="8" t="n">
        <f aca="false">E15 / 0.55</f>
        <v>81.8181818181818</v>
      </c>
      <c r="H15" s="8" t="n">
        <f aca="false">C15*G15</f>
        <v>2781.81818181818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50</v>
      </c>
      <c r="D16" s="7" t="s">
        <v>34</v>
      </c>
      <c r="E16" s="8" t="n">
        <v>2.25</v>
      </c>
      <c r="F16" s="8" t="n">
        <f aca="false">C16*E16</f>
        <v>112.5</v>
      </c>
      <c r="G16" s="8" t="n">
        <f aca="false">E16 / 0.55</f>
        <v>4.09090909090909</v>
      </c>
      <c r="H16" s="8" t="n">
        <f aca="false">C16*G16</f>
        <v>204.545454545455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2000</v>
      </c>
      <c r="D17" s="7" t="s">
        <v>31</v>
      </c>
      <c r="E17" s="8" t="n">
        <v>0.08</v>
      </c>
      <c r="F17" s="8" t="n">
        <f aca="false">C17*E17</f>
        <v>160</v>
      </c>
      <c r="G17" s="8" t="n">
        <f aca="false">E17 / 0.55</f>
        <v>0.145454545454545</v>
      </c>
      <c r="H17" s="8" t="n">
        <f aca="false">C17*G17</f>
        <v>290.909090909091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67</v>
      </c>
      <c r="D18" s="10" t="s">
        <v>31</v>
      </c>
      <c r="E18" s="11" t="n">
        <v>35</v>
      </c>
      <c r="F18" s="11" t="n">
        <f aca="false">C18*E18</f>
        <v>2345</v>
      </c>
      <c r="G18" s="11" t="n">
        <f aca="false">E18 / 0.55</f>
        <v>63.6363636363636</v>
      </c>
      <c r="H18" s="11" t="n">
        <f aca="false">C18*G18</f>
        <v>4263.63636363636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1000</v>
      </c>
      <c r="D19" s="10" t="s">
        <v>31</v>
      </c>
      <c r="E19" s="11" t="n">
        <v>0.08</v>
      </c>
      <c r="F19" s="11" t="n">
        <f aca="false">C19*E19</f>
        <v>80</v>
      </c>
      <c r="G19" s="11" t="n">
        <f aca="false">E19 / 0.55</f>
        <v>0.145454545454545</v>
      </c>
      <c r="H19" s="11" t="n">
        <f aca="false">C19*G19</f>
        <v>145.454545454545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100</v>
      </c>
      <c r="D20" s="7" t="s">
        <v>34</v>
      </c>
      <c r="E20" s="8" t="n">
        <v>1.25</v>
      </c>
      <c r="F20" s="8" t="n">
        <f aca="false">C20*E20</f>
        <v>125</v>
      </c>
      <c r="G20" s="8" t="n">
        <f aca="false">E20 / 0.55</f>
        <v>2.27272727272727</v>
      </c>
      <c r="H20" s="8" t="n">
        <f aca="false">C20*G20</f>
        <v>227.272727272727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103.077640640442</v>
      </c>
      <c r="D21" s="7" t="s">
        <v>34</v>
      </c>
      <c r="E21" s="8" t="n">
        <v>1.5</v>
      </c>
      <c r="F21" s="8" t="n">
        <f aca="false">C21*E21</f>
        <v>154.616460960663</v>
      </c>
      <c r="G21" s="8" t="n">
        <f aca="false">E21 / 0.55</f>
        <v>2.72727272727273</v>
      </c>
      <c r="H21" s="8" t="n">
        <f aca="false">C21*G21</f>
        <v>281.120838110296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200</v>
      </c>
      <c r="D23" s="7" t="s">
        <v>34</v>
      </c>
      <c r="E23" s="8" t="n">
        <v>0.75</v>
      </c>
      <c r="F23" s="8" t="n">
        <f aca="false">C23*E23</f>
        <v>150</v>
      </c>
      <c r="G23" s="8" t="n">
        <f aca="false">E23 / 0.55</f>
        <v>1.36363636363636</v>
      </c>
      <c r="H23" s="8" t="n">
        <f aca="false">C23*G23</f>
        <v>272.727272727273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80</v>
      </c>
      <c r="D24" s="10" t="s">
        <v>31</v>
      </c>
      <c r="E24" s="11" t="n">
        <v>0.35</v>
      </c>
      <c r="F24" s="11" t="n">
        <f aca="false">C24*E24</f>
        <v>28</v>
      </c>
      <c r="G24" s="11" t="n">
        <f aca="false">E24 / 0.55</f>
        <v>0.636363636363636</v>
      </c>
      <c r="H24" s="11" t="n">
        <f aca="false">C24*G24</f>
        <v>50.9090909090909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80</v>
      </c>
      <c r="D25" s="10" t="s">
        <v>31</v>
      </c>
      <c r="E25" s="11" t="n">
        <v>0.4</v>
      </c>
      <c r="F25" s="11" t="n">
        <f aca="false">C25*E25</f>
        <v>32</v>
      </c>
      <c r="G25" s="11" t="n">
        <f aca="false">E25 / 0.55</f>
        <v>0.727272727272727</v>
      </c>
      <c r="H25" s="11" t="n">
        <f aca="false">C25*G25</f>
        <v>58.1818181818182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720</v>
      </c>
      <c r="D26" s="10" t="s">
        <v>31</v>
      </c>
      <c r="E26" s="11" t="n">
        <v>0.12</v>
      </c>
      <c r="F26" s="11" t="n">
        <f aca="false">C26*E26</f>
        <v>86.4</v>
      </c>
      <c r="G26" s="11" t="n">
        <f aca="false">E26 / 0.55</f>
        <v>0.218181818181818</v>
      </c>
      <c r="H26" s="11" t="n">
        <f aca="false">C26*G26</f>
        <v>157.090909090909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9</v>
      </c>
      <c r="D27" s="10" t="s">
        <v>58</v>
      </c>
      <c r="E27" s="11" t="n">
        <v>8.5</v>
      </c>
      <c r="F27" s="11" t="n">
        <f aca="false">C27*E27</f>
        <v>76.5</v>
      </c>
      <c r="G27" s="11" t="n">
        <f aca="false">E27 / 0.55</f>
        <v>15.4545454545455</v>
      </c>
      <c r="H27" s="11" t="n">
        <f aca="false">C27*G27</f>
        <v>139.090909090909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3</v>
      </c>
      <c r="D28" s="10" t="s">
        <v>60</v>
      </c>
      <c r="E28" s="11" t="n">
        <v>12</v>
      </c>
      <c r="F28" s="11" t="n">
        <f aca="false">C28*E28</f>
        <v>36</v>
      </c>
      <c r="G28" s="11" t="n">
        <f aca="false">E28 / 0.55</f>
        <v>21.8181818181818</v>
      </c>
      <c r="H28" s="11" t="n">
        <f aca="false">C28*G28</f>
        <v>65.4545454545455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11951.0164609607</v>
      </c>
      <c r="G30" s="14"/>
      <c r="H30" s="15" t="n">
        <f aca="false">SUM(H8:H29)</f>
        <v>21729.1208381103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75</v>
      </c>
    </row>
    <row r="4" customFormat="false" ht="15" hidden="false" customHeight="false" outlineLevel="0" collapsed="false">
      <c r="A4" s="1" t="s">
        <v>19</v>
      </c>
      <c r="B4" s="1" t="n">
        <v>3000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22</v>
      </c>
      <c r="D8" s="7" t="s">
        <v>31</v>
      </c>
      <c r="E8" s="8" t="n">
        <v>45</v>
      </c>
      <c r="F8" s="8" t="n">
        <f aca="false">C8*E8</f>
        <v>990</v>
      </c>
      <c r="G8" s="8" t="n">
        <f aca="false">E8 / 0.55</f>
        <v>81.8181818181818</v>
      </c>
      <c r="H8" s="8" t="n">
        <f aca="false">C8*G8</f>
        <v>1800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7</v>
      </c>
      <c r="D9" s="7" t="s">
        <v>31</v>
      </c>
      <c r="E9" s="8" t="n">
        <v>250</v>
      </c>
      <c r="F9" s="8" t="n">
        <f aca="false">C9*E9</f>
        <v>1750</v>
      </c>
      <c r="G9" s="8" t="n">
        <f aca="false">E9 / 0.55</f>
        <v>454.545454545455</v>
      </c>
      <c r="H9" s="8" t="n">
        <f aca="false">C9*G9</f>
        <v>3181.81818181818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120</v>
      </c>
      <c r="D10" s="7" t="s">
        <v>34</v>
      </c>
      <c r="E10" s="8" t="n">
        <v>2.5</v>
      </c>
      <c r="F10" s="8" t="n">
        <f aca="false">C10*E10</f>
        <v>300</v>
      </c>
      <c r="G10" s="8" t="n">
        <f aca="false">E10 / 0.55</f>
        <v>4.54545454545455</v>
      </c>
      <c r="H10" s="8" t="n">
        <f aca="false">C10*G10</f>
        <v>545.454545454545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22</v>
      </c>
      <c r="D12" s="7" t="s">
        <v>36</v>
      </c>
      <c r="E12" s="8" t="n">
        <v>12</v>
      </c>
      <c r="F12" s="8" t="n">
        <f aca="false">C12*E12</f>
        <v>264</v>
      </c>
      <c r="G12" s="8" t="n">
        <f aca="false">E12 / 0.55</f>
        <v>21.8181818181818</v>
      </c>
      <c r="H12" s="8" t="n">
        <f aca="false">C12*G12</f>
        <v>480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720</v>
      </c>
      <c r="D13" s="10" t="s">
        <v>34</v>
      </c>
      <c r="E13" s="11" t="n">
        <v>3.75</v>
      </c>
      <c r="F13" s="11" t="n">
        <f aca="false">C13*E13</f>
        <v>2700</v>
      </c>
      <c r="G13" s="11" t="n">
        <f aca="false">E13 / 0.55</f>
        <v>6.81818181818182</v>
      </c>
      <c r="H13" s="11" t="n">
        <f aca="false">C13*G13</f>
        <v>4909.09090909091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440</v>
      </c>
      <c r="D14" s="10" t="s">
        <v>34</v>
      </c>
      <c r="E14" s="11" t="n">
        <v>3.5</v>
      </c>
      <c r="F14" s="11" t="n">
        <f aca="false">C14*E14</f>
        <v>1540</v>
      </c>
      <c r="G14" s="11" t="n">
        <f aca="false">E14 / 0.55</f>
        <v>6.36363636363636</v>
      </c>
      <c r="H14" s="11" t="n">
        <f aca="false">C14*G14</f>
        <v>2800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40</v>
      </c>
      <c r="D15" s="7" t="s">
        <v>31</v>
      </c>
      <c r="E15" s="8" t="n">
        <v>45</v>
      </c>
      <c r="F15" s="8" t="n">
        <f aca="false">C15*E15</f>
        <v>1800</v>
      </c>
      <c r="G15" s="8" t="n">
        <f aca="false">E15 / 0.55</f>
        <v>81.8181818181818</v>
      </c>
      <c r="H15" s="8" t="n">
        <f aca="false">C15*G15</f>
        <v>3272.72727272727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60</v>
      </c>
      <c r="D16" s="7" t="s">
        <v>34</v>
      </c>
      <c r="E16" s="8" t="n">
        <v>2.25</v>
      </c>
      <c r="F16" s="8" t="n">
        <f aca="false">C16*E16</f>
        <v>135</v>
      </c>
      <c r="G16" s="8" t="n">
        <f aca="false">E16 / 0.55</f>
        <v>4.09090909090909</v>
      </c>
      <c r="H16" s="8" t="n">
        <f aca="false">C16*G16</f>
        <v>245.454545454545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2400</v>
      </c>
      <c r="D17" s="7" t="s">
        <v>31</v>
      </c>
      <c r="E17" s="8" t="n">
        <v>0.08</v>
      </c>
      <c r="F17" s="8" t="n">
        <f aca="false">C17*E17</f>
        <v>192</v>
      </c>
      <c r="G17" s="8" t="n">
        <f aca="false">E17 / 0.55</f>
        <v>0.145454545454545</v>
      </c>
      <c r="H17" s="8" t="n">
        <f aca="false">C17*G17</f>
        <v>349.090909090909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74</v>
      </c>
      <c r="D18" s="10" t="s">
        <v>31</v>
      </c>
      <c r="E18" s="11" t="n">
        <v>35</v>
      </c>
      <c r="F18" s="11" t="n">
        <f aca="false">C18*E18</f>
        <v>2590</v>
      </c>
      <c r="G18" s="11" t="n">
        <f aca="false">E18 / 0.55</f>
        <v>63.6363636363636</v>
      </c>
      <c r="H18" s="11" t="n">
        <f aca="false">C18*G18</f>
        <v>4709.09090909091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1100</v>
      </c>
      <c r="D19" s="10" t="s">
        <v>31</v>
      </c>
      <c r="E19" s="11" t="n">
        <v>0.08</v>
      </c>
      <c r="F19" s="11" t="n">
        <f aca="false">C19*E19</f>
        <v>88</v>
      </c>
      <c r="G19" s="11" t="n">
        <f aca="false">E19 / 0.55</f>
        <v>0.145454545454545</v>
      </c>
      <c r="H19" s="11" t="n">
        <f aca="false">C19*G19</f>
        <v>160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120</v>
      </c>
      <c r="D20" s="7" t="s">
        <v>34</v>
      </c>
      <c r="E20" s="8" t="n">
        <v>1.25</v>
      </c>
      <c r="F20" s="8" t="n">
        <f aca="false">C20*E20</f>
        <v>150</v>
      </c>
      <c r="G20" s="8" t="n">
        <f aca="false">E20 / 0.55</f>
        <v>2.27272727272727</v>
      </c>
      <c r="H20" s="8" t="n">
        <f aca="false">C20*G20</f>
        <v>272.727272727273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103.077640640442</v>
      </c>
      <c r="D21" s="7" t="s">
        <v>34</v>
      </c>
      <c r="E21" s="8" t="n">
        <v>1.5</v>
      </c>
      <c r="F21" s="8" t="n">
        <f aca="false">C21*E21</f>
        <v>154.616460960663</v>
      </c>
      <c r="G21" s="8" t="n">
        <f aca="false">E21 / 0.55</f>
        <v>2.72727272727273</v>
      </c>
      <c r="H21" s="8" t="n">
        <f aca="false">C21*G21</f>
        <v>281.120838110296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220</v>
      </c>
      <c r="D23" s="7" t="s">
        <v>34</v>
      </c>
      <c r="E23" s="8" t="n">
        <v>0.75</v>
      </c>
      <c r="F23" s="8" t="n">
        <f aca="false">C23*E23</f>
        <v>165</v>
      </c>
      <c r="G23" s="8" t="n">
        <f aca="false">E23 / 0.55</f>
        <v>1.36363636363636</v>
      </c>
      <c r="H23" s="8" t="n">
        <f aca="false">C23*G23</f>
        <v>300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88</v>
      </c>
      <c r="D24" s="10" t="s">
        <v>31</v>
      </c>
      <c r="E24" s="11" t="n">
        <v>0.35</v>
      </c>
      <c r="F24" s="11" t="n">
        <f aca="false">C24*E24</f>
        <v>30.8</v>
      </c>
      <c r="G24" s="11" t="n">
        <f aca="false">E24 / 0.55</f>
        <v>0.636363636363636</v>
      </c>
      <c r="H24" s="11" t="n">
        <f aca="false">C24*G24</f>
        <v>56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88</v>
      </c>
      <c r="D25" s="10" t="s">
        <v>31</v>
      </c>
      <c r="E25" s="11" t="n">
        <v>0.4</v>
      </c>
      <c r="F25" s="11" t="n">
        <f aca="false">C25*E25</f>
        <v>35.2</v>
      </c>
      <c r="G25" s="11" t="n">
        <f aca="false">E25 / 0.55</f>
        <v>0.727272727272727</v>
      </c>
      <c r="H25" s="11" t="n">
        <f aca="false">C25*G25</f>
        <v>64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864</v>
      </c>
      <c r="D26" s="10" t="s">
        <v>31</v>
      </c>
      <c r="E26" s="11" t="n">
        <v>0.12</v>
      </c>
      <c r="F26" s="11" t="n">
        <f aca="false">C26*E26</f>
        <v>103.68</v>
      </c>
      <c r="G26" s="11" t="n">
        <f aca="false">E26 / 0.55</f>
        <v>0.218181818181818</v>
      </c>
      <c r="H26" s="11" t="n">
        <f aca="false">C26*G26</f>
        <v>188.509090909091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10</v>
      </c>
      <c r="D27" s="10" t="s">
        <v>58</v>
      </c>
      <c r="E27" s="11" t="n">
        <v>8.5</v>
      </c>
      <c r="F27" s="11" t="n">
        <f aca="false">C27*E27</f>
        <v>85</v>
      </c>
      <c r="G27" s="11" t="n">
        <f aca="false">E27 / 0.55</f>
        <v>15.4545454545455</v>
      </c>
      <c r="H27" s="11" t="n">
        <f aca="false">C27*G27</f>
        <v>154.545454545455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3</v>
      </c>
      <c r="D28" s="10" t="s">
        <v>60</v>
      </c>
      <c r="E28" s="11" t="n">
        <v>12</v>
      </c>
      <c r="F28" s="11" t="n">
        <f aca="false">C28*E28</f>
        <v>36</v>
      </c>
      <c r="G28" s="11" t="n">
        <f aca="false">E28 / 0.55</f>
        <v>21.8181818181818</v>
      </c>
      <c r="H28" s="11" t="n">
        <f aca="false">C28*G28</f>
        <v>65.4545454545455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13604.2964609607</v>
      </c>
      <c r="G30" s="14"/>
      <c r="H30" s="15" t="n">
        <f aca="false">SUM(H8:H29)</f>
        <v>24735.0844744739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77</v>
      </c>
    </row>
    <row r="4" customFormat="false" ht="15" hidden="false" customHeight="false" outlineLevel="0" collapsed="false">
      <c r="A4" s="1" t="s">
        <v>19</v>
      </c>
      <c r="B4" s="1" t="n">
        <v>4000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26</v>
      </c>
      <c r="D8" s="7" t="s">
        <v>31</v>
      </c>
      <c r="E8" s="8" t="n">
        <v>45</v>
      </c>
      <c r="F8" s="8" t="n">
        <f aca="false">C8*E8</f>
        <v>1170</v>
      </c>
      <c r="G8" s="8" t="n">
        <f aca="false">E8 / 0.55</f>
        <v>81.8181818181818</v>
      </c>
      <c r="H8" s="8" t="n">
        <f aca="false">C8*G8</f>
        <v>2127.27272727273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9</v>
      </c>
      <c r="D9" s="7" t="s">
        <v>31</v>
      </c>
      <c r="E9" s="8" t="n">
        <v>250</v>
      </c>
      <c r="F9" s="8" t="n">
        <f aca="false">C9*E9</f>
        <v>2250</v>
      </c>
      <c r="G9" s="8" t="n">
        <f aca="false">E9 / 0.55</f>
        <v>454.545454545455</v>
      </c>
      <c r="H9" s="8" t="n">
        <f aca="false">C9*G9</f>
        <v>4090.90909090909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160</v>
      </c>
      <c r="D10" s="7" t="s">
        <v>34</v>
      </c>
      <c r="E10" s="8" t="n">
        <v>2.5</v>
      </c>
      <c r="F10" s="8" t="n">
        <f aca="false">C10*E10</f>
        <v>400</v>
      </c>
      <c r="G10" s="8" t="n">
        <f aca="false">E10 / 0.55</f>
        <v>4.54545454545455</v>
      </c>
      <c r="H10" s="8" t="n">
        <f aca="false">C10*G10</f>
        <v>727.272727272727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26</v>
      </c>
      <c r="D12" s="7" t="s">
        <v>36</v>
      </c>
      <c r="E12" s="8" t="n">
        <v>12</v>
      </c>
      <c r="F12" s="8" t="n">
        <f aca="false">C12*E12</f>
        <v>312</v>
      </c>
      <c r="G12" s="8" t="n">
        <f aca="false">E12 / 0.55</f>
        <v>21.8181818181818</v>
      </c>
      <c r="H12" s="8" t="n">
        <f aca="false">C12*G12</f>
        <v>567.272727272727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960</v>
      </c>
      <c r="D13" s="10" t="s">
        <v>34</v>
      </c>
      <c r="E13" s="11" t="n">
        <v>3.75</v>
      </c>
      <c r="F13" s="11" t="n">
        <f aca="false">C13*E13</f>
        <v>3600</v>
      </c>
      <c r="G13" s="11" t="n">
        <f aca="false">E13 / 0.55</f>
        <v>6.81818181818182</v>
      </c>
      <c r="H13" s="11" t="n">
        <f aca="false">C13*G13</f>
        <v>6545.45454545455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520</v>
      </c>
      <c r="D14" s="10" t="s">
        <v>34</v>
      </c>
      <c r="E14" s="11" t="n">
        <v>3.5</v>
      </c>
      <c r="F14" s="11" t="n">
        <f aca="false">C14*E14</f>
        <v>1820</v>
      </c>
      <c r="G14" s="11" t="n">
        <f aca="false">E14 / 0.55</f>
        <v>6.36363636363636</v>
      </c>
      <c r="H14" s="11" t="n">
        <f aca="false">C14*G14</f>
        <v>3309.09090909091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54</v>
      </c>
      <c r="D15" s="7" t="s">
        <v>31</v>
      </c>
      <c r="E15" s="8" t="n">
        <v>45</v>
      </c>
      <c r="F15" s="8" t="n">
        <f aca="false">C15*E15</f>
        <v>2430</v>
      </c>
      <c r="G15" s="8" t="n">
        <f aca="false">E15 / 0.55</f>
        <v>81.8181818181818</v>
      </c>
      <c r="H15" s="8" t="n">
        <f aca="false">C15*G15</f>
        <v>4418.18181818182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80</v>
      </c>
      <c r="D16" s="7" t="s">
        <v>34</v>
      </c>
      <c r="E16" s="8" t="n">
        <v>2.25</v>
      </c>
      <c r="F16" s="8" t="n">
        <f aca="false">C16*E16</f>
        <v>180</v>
      </c>
      <c r="G16" s="8" t="n">
        <f aca="false">E16 / 0.55</f>
        <v>4.09090909090909</v>
      </c>
      <c r="H16" s="8" t="n">
        <f aca="false">C16*G16</f>
        <v>327.272727272727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3200</v>
      </c>
      <c r="D17" s="7" t="s">
        <v>31</v>
      </c>
      <c r="E17" s="8" t="n">
        <v>0.08</v>
      </c>
      <c r="F17" s="8" t="n">
        <f aca="false">C17*E17</f>
        <v>256</v>
      </c>
      <c r="G17" s="8" t="n">
        <f aca="false">E17 / 0.55</f>
        <v>0.145454545454545</v>
      </c>
      <c r="H17" s="8" t="n">
        <f aca="false">C17*G17</f>
        <v>465.454545454545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87</v>
      </c>
      <c r="D18" s="10" t="s">
        <v>31</v>
      </c>
      <c r="E18" s="11" t="n">
        <v>35</v>
      </c>
      <c r="F18" s="11" t="n">
        <f aca="false">C18*E18</f>
        <v>3045</v>
      </c>
      <c r="G18" s="11" t="n">
        <f aca="false">E18 / 0.55</f>
        <v>63.6363636363636</v>
      </c>
      <c r="H18" s="11" t="n">
        <f aca="false">C18*G18</f>
        <v>5536.36363636364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1300</v>
      </c>
      <c r="D19" s="10" t="s">
        <v>31</v>
      </c>
      <c r="E19" s="11" t="n">
        <v>0.08</v>
      </c>
      <c r="F19" s="11" t="n">
        <f aca="false">C19*E19</f>
        <v>104</v>
      </c>
      <c r="G19" s="11" t="n">
        <f aca="false">E19 / 0.55</f>
        <v>0.145454545454545</v>
      </c>
      <c r="H19" s="11" t="n">
        <f aca="false">C19*G19</f>
        <v>189.090909090909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160</v>
      </c>
      <c r="D20" s="7" t="s">
        <v>34</v>
      </c>
      <c r="E20" s="8" t="n">
        <v>1.25</v>
      </c>
      <c r="F20" s="8" t="n">
        <f aca="false">C20*E20</f>
        <v>200</v>
      </c>
      <c r="G20" s="8" t="n">
        <f aca="false">E20 / 0.55</f>
        <v>2.27272727272727</v>
      </c>
      <c r="H20" s="8" t="n">
        <f aca="false">C20*G20</f>
        <v>363.636363636364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103.077640640442</v>
      </c>
      <c r="D21" s="7" t="s">
        <v>34</v>
      </c>
      <c r="E21" s="8" t="n">
        <v>1.5</v>
      </c>
      <c r="F21" s="8" t="n">
        <f aca="false">C21*E21</f>
        <v>154.616460960663</v>
      </c>
      <c r="G21" s="8" t="n">
        <f aca="false">E21 / 0.55</f>
        <v>2.72727272727273</v>
      </c>
      <c r="H21" s="8" t="n">
        <f aca="false">C21*G21</f>
        <v>281.120838110296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260</v>
      </c>
      <c r="D23" s="7" t="s">
        <v>34</v>
      </c>
      <c r="E23" s="8" t="n">
        <v>0.75</v>
      </c>
      <c r="F23" s="8" t="n">
        <f aca="false">C23*E23</f>
        <v>195</v>
      </c>
      <c r="G23" s="8" t="n">
        <f aca="false">E23 / 0.55</f>
        <v>1.36363636363636</v>
      </c>
      <c r="H23" s="8" t="n">
        <f aca="false">C23*G23</f>
        <v>354.545454545455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104</v>
      </c>
      <c r="D24" s="10" t="s">
        <v>31</v>
      </c>
      <c r="E24" s="11" t="n">
        <v>0.35</v>
      </c>
      <c r="F24" s="11" t="n">
        <f aca="false">C24*E24</f>
        <v>36.4</v>
      </c>
      <c r="G24" s="11" t="n">
        <f aca="false">E24 / 0.55</f>
        <v>0.636363636363636</v>
      </c>
      <c r="H24" s="11" t="n">
        <f aca="false">C24*G24</f>
        <v>66.1818181818182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104</v>
      </c>
      <c r="D25" s="10" t="s">
        <v>31</v>
      </c>
      <c r="E25" s="11" t="n">
        <v>0.4</v>
      </c>
      <c r="F25" s="11" t="n">
        <f aca="false">C25*E25</f>
        <v>41.6</v>
      </c>
      <c r="G25" s="11" t="n">
        <f aca="false">E25 / 0.55</f>
        <v>0.727272727272727</v>
      </c>
      <c r="H25" s="11" t="n">
        <f aca="false">C25*G25</f>
        <v>75.6363636363636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1152</v>
      </c>
      <c r="D26" s="10" t="s">
        <v>31</v>
      </c>
      <c r="E26" s="11" t="n">
        <v>0.12</v>
      </c>
      <c r="F26" s="11" t="n">
        <f aca="false">C26*E26</f>
        <v>138.24</v>
      </c>
      <c r="G26" s="11" t="n">
        <f aca="false">E26 / 0.55</f>
        <v>0.218181818181818</v>
      </c>
      <c r="H26" s="11" t="n">
        <f aca="false">C26*G26</f>
        <v>251.345454545455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12</v>
      </c>
      <c r="D27" s="10" t="s">
        <v>58</v>
      </c>
      <c r="E27" s="11" t="n">
        <v>8.5</v>
      </c>
      <c r="F27" s="11" t="n">
        <f aca="false">C27*E27</f>
        <v>102</v>
      </c>
      <c r="G27" s="11" t="n">
        <f aca="false">E27 / 0.55</f>
        <v>15.4545454545455</v>
      </c>
      <c r="H27" s="11" t="n">
        <f aca="false">C27*G27</f>
        <v>185.454545454545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4</v>
      </c>
      <c r="D28" s="10" t="s">
        <v>60</v>
      </c>
      <c r="E28" s="11" t="n">
        <v>12</v>
      </c>
      <c r="F28" s="11" t="n">
        <f aca="false">C28*E28</f>
        <v>48</v>
      </c>
      <c r="G28" s="11" t="n">
        <f aca="false">E28 / 0.55</f>
        <v>21.8181818181818</v>
      </c>
      <c r="H28" s="11" t="n">
        <f aca="false">C28*G28</f>
        <v>87.2727272727273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16977.8564609607</v>
      </c>
      <c r="G30" s="14"/>
      <c r="H30" s="15" t="n">
        <f aca="false">SUM(H8:H29)</f>
        <v>30868.8299290194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79</v>
      </c>
    </row>
    <row r="4" customFormat="false" ht="15" hidden="false" customHeight="false" outlineLevel="0" collapsed="false">
      <c r="A4" s="1" t="s">
        <v>19</v>
      </c>
      <c r="B4" s="1" t="n">
        <v>6000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32</v>
      </c>
      <c r="D8" s="7" t="s">
        <v>31</v>
      </c>
      <c r="E8" s="8" t="n">
        <v>45</v>
      </c>
      <c r="F8" s="8" t="n">
        <f aca="false">C8*E8</f>
        <v>1440</v>
      </c>
      <c r="G8" s="8" t="n">
        <f aca="false">E8 / 0.55</f>
        <v>81.8181818181818</v>
      </c>
      <c r="H8" s="8" t="n">
        <f aca="false">C8*G8</f>
        <v>2618.18181818182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11</v>
      </c>
      <c r="D9" s="7" t="s">
        <v>31</v>
      </c>
      <c r="E9" s="8" t="n">
        <v>250</v>
      </c>
      <c r="F9" s="8" t="n">
        <f aca="false">C9*E9</f>
        <v>2750</v>
      </c>
      <c r="G9" s="8" t="n">
        <f aca="false">E9 / 0.55</f>
        <v>454.545454545455</v>
      </c>
      <c r="H9" s="8" t="n">
        <f aca="false">C9*G9</f>
        <v>5000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200</v>
      </c>
      <c r="D10" s="7" t="s">
        <v>34</v>
      </c>
      <c r="E10" s="8" t="n">
        <v>2.5</v>
      </c>
      <c r="F10" s="8" t="n">
        <f aca="false">C10*E10</f>
        <v>500</v>
      </c>
      <c r="G10" s="8" t="n">
        <f aca="false">E10 / 0.55</f>
        <v>4.54545454545455</v>
      </c>
      <c r="H10" s="8" t="n">
        <f aca="false">C10*G10</f>
        <v>909.090909090909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6</v>
      </c>
      <c r="D11" s="7" t="s">
        <v>36</v>
      </c>
      <c r="E11" s="8" t="n">
        <v>75</v>
      </c>
      <c r="F11" s="8" t="n">
        <f aca="false">C11*E11</f>
        <v>450</v>
      </c>
      <c r="G11" s="8" t="n">
        <f aca="false">E11 / 0.55</f>
        <v>136.363636363636</v>
      </c>
      <c r="H11" s="8" t="n">
        <f aca="false">C11*G11</f>
        <v>818.181818181818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32</v>
      </c>
      <c r="D12" s="7" t="s">
        <v>36</v>
      </c>
      <c r="E12" s="8" t="n">
        <v>12</v>
      </c>
      <c r="F12" s="8" t="n">
        <f aca="false">C12*E12</f>
        <v>384</v>
      </c>
      <c r="G12" s="8" t="n">
        <f aca="false">E12 / 0.55</f>
        <v>21.8181818181818</v>
      </c>
      <c r="H12" s="8" t="n">
        <f aca="false">C12*G12</f>
        <v>698.181818181818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1400</v>
      </c>
      <c r="D13" s="10" t="s">
        <v>34</v>
      </c>
      <c r="E13" s="11" t="n">
        <v>3.75</v>
      </c>
      <c r="F13" s="11" t="n">
        <f aca="false">C13*E13</f>
        <v>5250</v>
      </c>
      <c r="G13" s="11" t="n">
        <f aca="false">E13 / 0.55</f>
        <v>6.81818181818182</v>
      </c>
      <c r="H13" s="11" t="n">
        <f aca="false">C13*G13</f>
        <v>9545.45454545454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640</v>
      </c>
      <c r="D14" s="10" t="s">
        <v>34</v>
      </c>
      <c r="E14" s="11" t="n">
        <v>3.5</v>
      </c>
      <c r="F14" s="11" t="n">
        <f aca="false">C14*E14</f>
        <v>2240</v>
      </c>
      <c r="G14" s="11" t="n">
        <f aca="false">E14 / 0.55</f>
        <v>6.36363636363636</v>
      </c>
      <c r="H14" s="11" t="n">
        <f aca="false">C14*G14</f>
        <v>4072.72727272727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68</v>
      </c>
      <c r="D15" s="7" t="s">
        <v>31</v>
      </c>
      <c r="E15" s="8" t="n">
        <v>45</v>
      </c>
      <c r="F15" s="8" t="n">
        <f aca="false">C15*E15</f>
        <v>3060</v>
      </c>
      <c r="G15" s="8" t="n">
        <f aca="false">E15 / 0.55</f>
        <v>81.8181818181818</v>
      </c>
      <c r="H15" s="8" t="n">
        <f aca="false">C15*G15</f>
        <v>5563.63636363636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100</v>
      </c>
      <c r="D16" s="7" t="s">
        <v>34</v>
      </c>
      <c r="E16" s="8" t="n">
        <v>2.25</v>
      </c>
      <c r="F16" s="8" t="n">
        <f aca="false">C16*E16</f>
        <v>225</v>
      </c>
      <c r="G16" s="8" t="n">
        <f aca="false">E16 / 0.55</f>
        <v>4.09090909090909</v>
      </c>
      <c r="H16" s="8" t="n">
        <f aca="false">C16*G16</f>
        <v>409.090909090909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4800</v>
      </c>
      <c r="D17" s="7" t="s">
        <v>31</v>
      </c>
      <c r="E17" s="8" t="n">
        <v>0.08</v>
      </c>
      <c r="F17" s="8" t="n">
        <f aca="false">C17*E17</f>
        <v>384</v>
      </c>
      <c r="G17" s="8" t="n">
        <f aca="false">E17 / 0.55</f>
        <v>0.145454545454545</v>
      </c>
      <c r="H17" s="8" t="n">
        <f aca="false">C17*G17</f>
        <v>698.181818181818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107</v>
      </c>
      <c r="D18" s="10" t="s">
        <v>31</v>
      </c>
      <c r="E18" s="11" t="n">
        <v>35</v>
      </c>
      <c r="F18" s="11" t="n">
        <f aca="false">C18*E18</f>
        <v>3745</v>
      </c>
      <c r="G18" s="11" t="n">
        <f aca="false">E18 / 0.55</f>
        <v>63.6363636363636</v>
      </c>
      <c r="H18" s="11" t="n">
        <f aca="false">C18*G18</f>
        <v>6809.09090909091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1600</v>
      </c>
      <c r="D19" s="10" t="s">
        <v>31</v>
      </c>
      <c r="E19" s="11" t="n">
        <v>0.08</v>
      </c>
      <c r="F19" s="11" t="n">
        <f aca="false">C19*E19</f>
        <v>128</v>
      </c>
      <c r="G19" s="11" t="n">
        <f aca="false">E19 / 0.55</f>
        <v>0.145454545454545</v>
      </c>
      <c r="H19" s="11" t="n">
        <f aca="false">C19*G19</f>
        <v>232.727272727273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200</v>
      </c>
      <c r="D20" s="7" t="s">
        <v>34</v>
      </c>
      <c r="E20" s="8" t="n">
        <v>1.25</v>
      </c>
      <c r="F20" s="8" t="n">
        <f aca="false">C20*E20</f>
        <v>250</v>
      </c>
      <c r="G20" s="8" t="n">
        <f aca="false">E20 / 0.55</f>
        <v>2.27272727272727</v>
      </c>
      <c r="H20" s="8" t="n">
        <f aca="false">C20*G20</f>
        <v>454.545454545455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123.69316876853</v>
      </c>
      <c r="D21" s="7" t="s">
        <v>34</v>
      </c>
      <c r="E21" s="8" t="n">
        <v>1.5</v>
      </c>
      <c r="F21" s="8" t="n">
        <f aca="false">C21*E21</f>
        <v>185.539753152795</v>
      </c>
      <c r="G21" s="8" t="n">
        <f aca="false">E21 / 0.55</f>
        <v>2.72727272727273</v>
      </c>
      <c r="H21" s="8" t="n">
        <f aca="false">C21*G21</f>
        <v>337.345005732355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320</v>
      </c>
      <c r="D23" s="7" t="s">
        <v>34</v>
      </c>
      <c r="E23" s="8" t="n">
        <v>0.75</v>
      </c>
      <c r="F23" s="8" t="n">
        <f aca="false">C23*E23</f>
        <v>240</v>
      </c>
      <c r="G23" s="8" t="n">
        <f aca="false">E23 / 0.55</f>
        <v>1.36363636363636</v>
      </c>
      <c r="H23" s="8" t="n">
        <f aca="false">C23*G23</f>
        <v>436.363636363636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128</v>
      </c>
      <c r="D24" s="10" t="s">
        <v>31</v>
      </c>
      <c r="E24" s="11" t="n">
        <v>0.35</v>
      </c>
      <c r="F24" s="11" t="n">
        <f aca="false">C24*E24</f>
        <v>44.8</v>
      </c>
      <c r="G24" s="11" t="n">
        <f aca="false">E24 / 0.55</f>
        <v>0.636363636363636</v>
      </c>
      <c r="H24" s="11" t="n">
        <f aca="false">C24*G24</f>
        <v>81.4545454545454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128</v>
      </c>
      <c r="D25" s="10" t="s">
        <v>31</v>
      </c>
      <c r="E25" s="11" t="n">
        <v>0.4</v>
      </c>
      <c r="F25" s="11" t="n">
        <f aca="false">C25*E25</f>
        <v>51.2</v>
      </c>
      <c r="G25" s="11" t="n">
        <f aca="false">E25 / 0.55</f>
        <v>0.727272727272727</v>
      </c>
      <c r="H25" s="11" t="n">
        <f aca="false">C25*G25</f>
        <v>93.0909090909091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1680</v>
      </c>
      <c r="D26" s="10" t="s">
        <v>31</v>
      </c>
      <c r="E26" s="11" t="n">
        <v>0.12</v>
      </c>
      <c r="F26" s="11" t="n">
        <f aca="false">C26*E26</f>
        <v>201.6</v>
      </c>
      <c r="G26" s="11" t="n">
        <f aca="false">E26 / 0.55</f>
        <v>0.218181818181818</v>
      </c>
      <c r="H26" s="11" t="n">
        <f aca="false">C26*G26</f>
        <v>366.545454545455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15</v>
      </c>
      <c r="D27" s="10" t="s">
        <v>58</v>
      </c>
      <c r="E27" s="11" t="n">
        <v>8.5</v>
      </c>
      <c r="F27" s="11" t="n">
        <f aca="false">C27*E27</f>
        <v>127.5</v>
      </c>
      <c r="G27" s="11" t="n">
        <f aca="false">E27 / 0.55</f>
        <v>15.4545454545455</v>
      </c>
      <c r="H27" s="11" t="n">
        <f aca="false">C27*G27</f>
        <v>231.818181818182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5</v>
      </c>
      <c r="D28" s="10" t="s">
        <v>60</v>
      </c>
      <c r="E28" s="11" t="n">
        <v>12</v>
      </c>
      <c r="F28" s="11" t="n">
        <f aca="false">C28*E28</f>
        <v>60</v>
      </c>
      <c r="G28" s="11" t="n">
        <f aca="false">E28 / 0.55</f>
        <v>21.8181818181818</v>
      </c>
      <c r="H28" s="11" t="n">
        <f aca="false">C28*G28</f>
        <v>109.090909090909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21911.6397531528</v>
      </c>
      <c r="G30" s="14"/>
      <c r="H30" s="15" t="n">
        <f aca="false">SUM(H8:H29)</f>
        <v>39839.3450057324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81</v>
      </c>
    </row>
    <row r="4" customFormat="false" ht="15" hidden="false" customHeight="false" outlineLevel="0" collapsed="false">
      <c r="A4" s="1" t="s">
        <v>19</v>
      </c>
      <c r="B4" s="1" t="n">
        <v>3600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24</v>
      </c>
      <c r="D8" s="7" t="s">
        <v>31</v>
      </c>
      <c r="E8" s="8" t="n">
        <v>45</v>
      </c>
      <c r="F8" s="8" t="n">
        <f aca="false">C8*E8</f>
        <v>1080</v>
      </c>
      <c r="G8" s="8" t="n">
        <f aca="false">E8 / 0.55</f>
        <v>81.8181818181818</v>
      </c>
      <c r="H8" s="8" t="n">
        <f aca="false">C8*G8</f>
        <v>1963.63636363636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7</v>
      </c>
      <c r="D9" s="7" t="s">
        <v>31</v>
      </c>
      <c r="E9" s="8" t="n">
        <v>250</v>
      </c>
      <c r="F9" s="8" t="n">
        <f aca="false">C9*E9</f>
        <v>1750</v>
      </c>
      <c r="G9" s="8" t="n">
        <f aca="false">E9 / 0.55</f>
        <v>454.545454545455</v>
      </c>
      <c r="H9" s="8" t="n">
        <f aca="false">C9*G9</f>
        <v>3181.81818181818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120</v>
      </c>
      <c r="D10" s="7" t="s">
        <v>34</v>
      </c>
      <c r="E10" s="8" t="n">
        <v>2.5</v>
      </c>
      <c r="F10" s="8" t="n">
        <f aca="false">C10*E10</f>
        <v>300</v>
      </c>
      <c r="G10" s="8" t="n">
        <f aca="false">E10 / 0.55</f>
        <v>4.54545454545455</v>
      </c>
      <c r="H10" s="8" t="n">
        <f aca="false">C10*G10</f>
        <v>545.454545454545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4</v>
      </c>
      <c r="D11" s="7" t="s">
        <v>36</v>
      </c>
      <c r="E11" s="8" t="n">
        <v>75</v>
      </c>
      <c r="F11" s="8" t="n">
        <f aca="false">C11*E11</f>
        <v>300</v>
      </c>
      <c r="G11" s="8" t="n">
        <f aca="false">E11 / 0.55</f>
        <v>136.363636363636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24</v>
      </c>
      <c r="D12" s="7" t="s">
        <v>36</v>
      </c>
      <c r="E12" s="8" t="n">
        <v>12</v>
      </c>
      <c r="F12" s="8" t="n">
        <f aca="false">C12*E12</f>
        <v>288</v>
      </c>
      <c r="G12" s="8" t="n">
        <f aca="false">E12 / 0.55</f>
        <v>21.8181818181818</v>
      </c>
      <c r="H12" s="8" t="n">
        <f aca="false">C12*G12</f>
        <v>523.636363636364</v>
      </c>
      <c r="I12" s="9" t="n">
        <f aca="false">(H12-F12)/H12*100</f>
        <v>45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n">
        <v>840</v>
      </c>
      <c r="D13" s="10" t="s">
        <v>34</v>
      </c>
      <c r="E13" s="11" t="n">
        <v>3.75</v>
      </c>
      <c r="F13" s="11" t="n">
        <f aca="false">C13*E13</f>
        <v>3150</v>
      </c>
      <c r="G13" s="11" t="n">
        <f aca="false">E13 / 0.55</f>
        <v>6.81818181818182</v>
      </c>
      <c r="H13" s="11" t="n">
        <f aca="false">C13*G13</f>
        <v>5727.27272727273</v>
      </c>
      <c r="I13" s="12" t="n">
        <f aca="false">(H13-F13)/H13*100</f>
        <v>45</v>
      </c>
    </row>
    <row r="14" customFormat="false" ht="23.85" hidden="false" customHeight="false" outlineLevel="0" collapsed="false">
      <c r="A14" s="10" t="s">
        <v>38</v>
      </c>
      <c r="B14" s="10" t="s">
        <v>40</v>
      </c>
      <c r="C14" s="10" t="n">
        <v>480</v>
      </c>
      <c r="D14" s="10" t="s">
        <v>34</v>
      </c>
      <c r="E14" s="11" t="n">
        <v>3.5</v>
      </c>
      <c r="F14" s="11" t="n">
        <f aca="false">C14*E14</f>
        <v>1680</v>
      </c>
      <c r="G14" s="11" t="n">
        <f aca="false">E14 / 0.55</f>
        <v>6.36363636363636</v>
      </c>
      <c r="H14" s="11" t="n">
        <f aca="false">C14*G14</f>
        <v>3054.54545454545</v>
      </c>
      <c r="I14" s="12" t="n">
        <f aca="false">(H14-F14)/H14*100</f>
        <v>45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n">
        <v>40</v>
      </c>
      <c r="D15" s="7" t="s">
        <v>31</v>
      </c>
      <c r="E15" s="8" t="n">
        <v>45</v>
      </c>
      <c r="F15" s="8" t="n">
        <f aca="false">C15*E15</f>
        <v>1800</v>
      </c>
      <c r="G15" s="8" t="n">
        <f aca="false">E15 / 0.55</f>
        <v>81.8181818181818</v>
      </c>
      <c r="H15" s="8" t="n">
        <f aca="false">C15*G15</f>
        <v>3272.72727272727</v>
      </c>
      <c r="I15" s="9" t="n">
        <f aca="false">(H15-F15)/H15*100</f>
        <v>45</v>
      </c>
    </row>
    <row r="16" customFormat="false" ht="15" hidden="false" customHeight="false" outlineLevel="0" collapsed="false">
      <c r="A16" s="7" t="s">
        <v>41</v>
      </c>
      <c r="B16" s="7" t="s">
        <v>43</v>
      </c>
      <c r="C16" s="7" t="n">
        <v>60</v>
      </c>
      <c r="D16" s="7" t="s">
        <v>34</v>
      </c>
      <c r="E16" s="8" t="n">
        <v>2.25</v>
      </c>
      <c r="F16" s="8" t="n">
        <f aca="false">C16*E16</f>
        <v>135</v>
      </c>
      <c r="G16" s="8" t="n">
        <f aca="false">E16 / 0.55</f>
        <v>4.09090909090909</v>
      </c>
      <c r="H16" s="8" t="n">
        <f aca="false">C16*G16</f>
        <v>245.454545454545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41</v>
      </c>
      <c r="B17" s="7" t="s">
        <v>44</v>
      </c>
      <c r="C17" s="7" t="n">
        <v>2880</v>
      </c>
      <c r="D17" s="7" t="s">
        <v>31</v>
      </c>
      <c r="E17" s="8" t="n">
        <v>0.08</v>
      </c>
      <c r="F17" s="8" t="n">
        <f aca="false">C17*E17</f>
        <v>230.4</v>
      </c>
      <c r="G17" s="8" t="n">
        <f aca="false">E17 / 0.55</f>
        <v>0.145454545454545</v>
      </c>
      <c r="H17" s="8" t="n">
        <f aca="false">C17*G17</f>
        <v>418.909090909091</v>
      </c>
      <c r="I17" s="9" t="n">
        <f aca="false">(H17-F17)/H17*100</f>
        <v>45</v>
      </c>
    </row>
    <row r="18" customFormat="false" ht="15" hidden="false" customHeight="false" outlineLevel="0" collapsed="false">
      <c r="A18" s="10" t="s">
        <v>45</v>
      </c>
      <c r="B18" s="10" t="s">
        <v>46</v>
      </c>
      <c r="C18" s="10" t="n">
        <v>80</v>
      </c>
      <c r="D18" s="10" t="s">
        <v>31</v>
      </c>
      <c r="E18" s="11" t="n">
        <v>35</v>
      </c>
      <c r="F18" s="11" t="n">
        <f aca="false">C18*E18</f>
        <v>2800</v>
      </c>
      <c r="G18" s="11" t="n">
        <f aca="false">E18 / 0.55</f>
        <v>63.6363636363636</v>
      </c>
      <c r="H18" s="11" t="n">
        <f aca="false">C18*G18</f>
        <v>5090.90909090909</v>
      </c>
      <c r="I18" s="12" t="n">
        <f aca="false">(H18-F18)/H18*100</f>
        <v>45</v>
      </c>
    </row>
    <row r="19" customFormat="false" ht="15" hidden="false" customHeight="false" outlineLevel="0" collapsed="false">
      <c r="A19" s="10" t="s">
        <v>45</v>
      </c>
      <c r="B19" s="10" t="s">
        <v>47</v>
      </c>
      <c r="C19" s="10" t="n">
        <v>1200</v>
      </c>
      <c r="D19" s="10" t="s">
        <v>31</v>
      </c>
      <c r="E19" s="11" t="n">
        <v>0.08</v>
      </c>
      <c r="F19" s="11" t="n">
        <f aca="false">C19*E19</f>
        <v>96</v>
      </c>
      <c r="G19" s="11" t="n">
        <f aca="false">E19 / 0.55</f>
        <v>0.145454545454545</v>
      </c>
      <c r="H19" s="11" t="n">
        <f aca="false">C19*G19</f>
        <v>174.545454545455</v>
      </c>
      <c r="I19" s="12" t="n">
        <f aca="false">(H19-F19)/H19*100</f>
        <v>45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120</v>
      </c>
      <c r="D20" s="7" t="s">
        <v>34</v>
      </c>
      <c r="E20" s="8" t="n">
        <v>1.25</v>
      </c>
      <c r="F20" s="8" t="n">
        <f aca="false">C20*E20</f>
        <v>150</v>
      </c>
      <c r="G20" s="8" t="n">
        <f aca="false">E20 / 0.55</f>
        <v>2.27272727272727</v>
      </c>
      <c r="H20" s="8" t="n">
        <f aca="false">C20*G20</f>
        <v>272.727272727273</v>
      </c>
      <c r="I20" s="9" t="n">
        <f aca="false">(H20-F20)/H20*100</f>
        <v>45</v>
      </c>
    </row>
    <row r="21" customFormat="false" ht="15" hidden="false" customHeight="false" outlineLevel="0" collapsed="false">
      <c r="A21" s="7" t="s">
        <v>48</v>
      </c>
      <c r="B21" s="7" t="s">
        <v>50</v>
      </c>
      <c r="C21" s="7" t="n">
        <v>123.69316876853</v>
      </c>
      <c r="D21" s="7" t="s">
        <v>34</v>
      </c>
      <c r="E21" s="8" t="n">
        <v>1.5</v>
      </c>
      <c r="F21" s="8" t="n">
        <f aca="false">C21*E21</f>
        <v>185.539753152795</v>
      </c>
      <c r="G21" s="8" t="n">
        <f aca="false">E21 / 0.55</f>
        <v>2.72727272727273</v>
      </c>
      <c r="H21" s="8" t="n">
        <f aca="false">C21*G21</f>
        <v>337.345005732355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48</v>
      </c>
      <c r="B22" s="7" t="s">
        <v>51</v>
      </c>
      <c r="C22" s="7" t="n">
        <v>40</v>
      </c>
      <c r="D22" s="7" t="s">
        <v>34</v>
      </c>
      <c r="E22" s="8" t="n">
        <v>1.75</v>
      </c>
      <c r="F22" s="8" t="n">
        <f aca="false">C22*E22</f>
        <v>70</v>
      </c>
      <c r="G22" s="8" t="n">
        <f aca="false">E22 / 0.55</f>
        <v>3.18181818181818</v>
      </c>
      <c r="H22" s="8" t="n">
        <f aca="false">C22*G22</f>
        <v>127.272727272727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48</v>
      </c>
      <c r="B23" s="7" t="s">
        <v>52</v>
      </c>
      <c r="C23" s="7" t="n">
        <v>240</v>
      </c>
      <c r="D23" s="7" t="s">
        <v>34</v>
      </c>
      <c r="E23" s="8" t="n">
        <v>0.75</v>
      </c>
      <c r="F23" s="8" t="n">
        <f aca="false">C23*E23</f>
        <v>180</v>
      </c>
      <c r="G23" s="8" t="n">
        <f aca="false">E23 / 0.55</f>
        <v>1.36363636363636</v>
      </c>
      <c r="H23" s="8" t="n">
        <f aca="false">C23*G23</f>
        <v>327.272727272727</v>
      </c>
      <c r="I23" s="9" t="n">
        <f aca="false">(H23-F23)/H23*100</f>
        <v>45</v>
      </c>
    </row>
    <row r="24" customFormat="false" ht="23.85" hidden="false" customHeight="false" outlineLevel="0" collapsed="false">
      <c r="A24" s="10" t="s">
        <v>53</v>
      </c>
      <c r="B24" s="10" t="s">
        <v>54</v>
      </c>
      <c r="C24" s="10" t="n">
        <v>96</v>
      </c>
      <c r="D24" s="10" t="s">
        <v>31</v>
      </c>
      <c r="E24" s="11" t="n">
        <v>0.35</v>
      </c>
      <c r="F24" s="11" t="n">
        <f aca="false">C24*E24</f>
        <v>33.6</v>
      </c>
      <c r="G24" s="11" t="n">
        <f aca="false">E24 / 0.55</f>
        <v>0.636363636363636</v>
      </c>
      <c r="H24" s="11" t="n">
        <f aca="false">C24*G24</f>
        <v>61.0909090909091</v>
      </c>
      <c r="I24" s="12" t="n">
        <f aca="false">(H24-F24)/H24*100</f>
        <v>45</v>
      </c>
    </row>
    <row r="25" customFormat="false" ht="23.85" hidden="false" customHeight="false" outlineLevel="0" collapsed="false">
      <c r="A25" s="10" t="s">
        <v>53</v>
      </c>
      <c r="B25" s="10" t="s">
        <v>55</v>
      </c>
      <c r="C25" s="10" t="n">
        <v>96</v>
      </c>
      <c r="D25" s="10" t="s">
        <v>31</v>
      </c>
      <c r="E25" s="11" t="n">
        <v>0.4</v>
      </c>
      <c r="F25" s="11" t="n">
        <f aca="false">C25*E25</f>
        <v>38.4</v>
      </c>
      <c r="G25" s="11" t="n">
        <f aca="false">E25 / 0.55</f>
        <v>0.727272727272727</v>
      </c>
      <c r="H25" s="11" t="n">
        <f aca="false">C25*G25</f>
        <v>69.8181818181818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53</v>
      </c>
      <c r="B26" s="10" t="s">
        <v>56</v>
      </c>
      <c r="C26" s="10" t="n">
        <v>1008</v>
      </c>
      <c r="D26" s="10" t="s">
        <v>31</v>
      </c>
      <c r="E26" s="11" t="n">
        <v>0.12</v>
      </c>
      <c r="F26" s="11" t="n">
        <f aca="false">C26*E26</f>
        <v>120.96</v>
      </c>
      <c r="G26" s="11" t="n">
        <f aca="false">E26 / 0.55</f>
        <v>0.218181818181818</v>
      </c>
      <c r="H26" s="11" t="n">
        <f aca="false">C26*G26</f>
        <v>219.927272727273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53</v>
      </c>
      <c r="B27" s="10" t="s">
        <v>57</v>
      </c>
      <c r="C27" s="10" t="n">
        <v>11</v>
      </c>
      <c r="D27" s="10" t="s">
        <v>58</v>
      </c>
      <c r="E27" s="11" t="n">
        <v>8.5</v>
      </c>
      <c r="F27" s="11" t="n">
        <f aca="false">C27*E27</f>
        <v>93.5</v>
      </c>
      <c r="G27" s="11" t="n">
        <f aca="false">E27 / 0.55</f>
        <v>15.4545454545455</v>
      </c>
      <c r="H27" s="11" t="n">
        <f aca="false">C27*G27</f>
        <v>170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53</v>
      </c>
      <c r="B28" s="10" t="s">
        <v>59</v>
      </c>
      <c r="C28" s="10" t="n">
        <v>3</v>
      </c>
      <c r="D28" s="10" t="s">
        <v>60</v>
      </c>
      <c r="E28" s="11" t="n">
        <v>12</v>
      </c>
      <c r="F28" s="11" t="n">
        <f aca="false">C28*E28</f>
        <v>36</v>
      </c>
      <c r="G28" s="11" t="n">
        <f aca="false">E28 / 0.55</f>
        <v>21.8181818181818</v>
      </c>
      <c r="H28" s="11" t="n">
        <f aca="false">C28*G28</f>
        <v>65.4545454545455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53</v>
      </c>
      <c r="B29" s="10" t="s">
        <v>61</v>
      </c>
      <c r="C29" s="10" t="n">
        <v>1</v>
      </c>
      <c r="D29" s="10" t="s">
        <v>62</v>
      </c>
      <c r="E29" s="11" t="n">
        <v>125</v>
      </c>
      <c r="F29" s="11" t="n">
        <f aca="false">C29*E29</f>
        <v>125</v>
      </c>
      <c r="G29" s="11" t="n">
        <f aca="false">E29 / 0.55</f>
        <v>227.272727272727</v>
      </c>
      <c r="H29" s="11" t="n">
        <f aca="false">C29*G29</f>
        <v>227.272727272727</v>
      </c>
      <c r="I29" s="12" t="n">
        <f aca="false">(H29-F29)/H29*100</f>
        <v>45</v>
      </c>
    </row>
    <row r="30" customFormat="false" ht="15" hidden="false" customHeight="false" outlineLevel="0" collapsed="false">
      <c r="A30" s="13" t="s">
        <v>63</v>
      </c>
      <c r="B30" s="14"/>
      <c r="C30" s="14"/>
      <c r="D30" s="14"/>
      <c r="E30" s="14"/>
      <c r="F30" s="15" t="n">
        <f aca="false">SUM(F8:F29)</f>
        <v>14642.3997531528</v>
      </c>
      <c r="G30" s="14"/>
      <c r="H30" s="15" t="n">
        <f aca="false">SUM(H8:H29)</f>
        <v>26622.5450057324</v>
      </c>
      <c r="I30" s="16" t="n">
        <f aca="false">(H30-F30)/H30*100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2026-02-14T23:58:46Z</dcterms:created>
  <dc:creator>openpyxl</dc:creator>
  <dc:description/>
  <dc:language>en-US</dc:language>
  <cp:lastModifiedBy/>
  <dcterms:modified xsi:type="dcterms:W3CDTF">2026-02-14T23:58:46Z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