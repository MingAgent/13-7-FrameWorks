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<sst xmlns="http://schemas.openxmlformats.org/spreadsheetml/2006/main" count="1087" uniqueCount="113">
  <si>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- 40x50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</si>
  <si>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</si>
  <si>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</si>
  <si>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</si>
  <si>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</si>
  <si>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</si>
  <si>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</si>
  <si>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</si>
  <si>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</si>
  <si>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</si>
  <si>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</si>
  <si>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</si>
  <si>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</si>
  <si>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</si>
  <si>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</si>
  <si>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</si>
  <si>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</si>
  <si>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</si>
  <si>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</si>
  <si>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</si>
  <si>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</si>
  <si>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</si>
  <si>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</si>
  <si>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</si>
  <si>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- 40x50 - PB 10ft</t>
  </si>
  <si>
    <t xml:space="preserve">Building Size: 40x50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</si>
  <si>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</si>
  <si>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</si>
  <si>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</si>
  <si>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</si>
  <si>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</si>
  <si>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</si>
  <si>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</si>
  <si>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</si>
  <si>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</si>
  <si>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</si>
  <si>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</si>
  <si>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</si>
  <si>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</si>
  <si>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</si>
  <si>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</si>
  <si>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40'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</si>
  <si>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</si>
  <si>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</si>
  <si>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</si>
  <si>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</si>
  <si>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12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</si>
  <si>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</si>
  <si>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</si>
  <si>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</si>
  <si>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</si>
  <si>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</si>
  <si>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</si>
  <si>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</si>
  <si>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</si>
  <si>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</si>
  <si>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</si>
  <si>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</si>
  <si>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</si>
  <si>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</si>
  <si>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</si>
  <si>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</si>
  <si>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</si>
  <si>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</si>
  <si>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</si>
  <si>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</si>
  <si>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</si>
  <si>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</si>
  <si>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</si>
  <si>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</si>
  <si>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</si>
  <si>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</si>
  <si>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</si>
  <si>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</si>
  <si>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</si>
  <si>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</si>
  <si>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</si>
  <si>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</si>
  <si>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</si>
  <si>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</si>
  <si>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- 40x50 -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</si>
  <si>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</si>
  <si>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</si>
  <si>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</si>
  <si>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- 40x50 -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</si>
  <si>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</si>
  <si>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</si>
  <si>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</si>
  <si>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</si>
  <si>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</si>
  <si>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- 40x50 -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</si>
  <si>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</si>
  <si>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</si>
  <si>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</si>
  <si>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</si>
  <si>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</si>
  <si>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</si>
  <si>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- 40x50 -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</si>
  <si>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</si>
  <si>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</si>
  <si>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</si>
  <si>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- 40x50 - IB 10ft</t>
  </si>
  <si>
    <t xml:space="preserve">Building Type: I-Beam</t>
  </si>
  <si>
    <t xml:space="preserve">I-Beam Columns, 10' tall, mounted to slab</t>
  </si>
  <si>
    <t xml:space="preserve">I-Beam Rafters, 40' span, 3:12 pitch (incl. height reinforcement)</t>
  </si>
  <si>
    <t xml:space="preserve">Metal Building BOM - 40x50 - IB 12ft</t>
  </si>
  <si>
    <t xml:space="preserve">I-Beam Columns, 12' tall, mounted to slab</t>
  </si>
  <si>
    <t xml:space="preserve">Metal Building BOM - 40x50 - IB 14ft</t>
  </si>
  <si>
    <t xml:space="preserve">I-Beam Columns, 14' tall, mounted to slab</t>
  </si>
  <si>
    <t xml:space="preserve">Metal Building BOM - 40x50 - IB 16ft</t>
  </si>
  <si>
    <t xml:space="preserve">I-Beam Columns, 16' tall, mounted to slab</t>
  </si>
  <si>
    <t xml:space="preserve">Metal Building BOM - 40x50 -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</si>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</sst>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15203.4242250247</v>
      </c>
      <c r="E4" s="3" t="n">
        <f aca="false">SUMIF('PB 10ft'!A:A,"&lt;&gt;TOTALS",'PB 10ft'!H:H)</f>
        <v>27642.5895000449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16648.6242250247</v>
      </c>
      <c r="E5" s="3" t="n">
        <f aca="false">SUMIF('PB 12ft'!A:A,"&lt;&gt;TOTALS",'PB 12ft'!H:H)</f>
        <v>30270.2258636813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17618.9242250247</v>
      </c>
      <c r="E6" s="3" t="n">
        <f aca="false">SUMIF('PB 14ft'!A:A,"&lt;&gt;TOTALS",'PB 14ft'!H:H)</f>
        <v>32034.4076818631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20727.5242250247</v>
      </c>
      <c r="E7" s="3" t="n">
        <f aca="false">SUMIF('PB 16ft'!A:A,"&lt;&gt;TOTALS",'PB 16ft'!H:H)</f>
        <v>37686.4076818631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24030.1242250247</v>
      </c>
      <c r="E8" s="3" t="n">
        <f aca="false">SUMIF('PB 20ft'!A:A,"&lt;&gt;TOTALS",'PB 20ft'!H:H)</f>
        <v>43691.1349545904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14285.4242250247</v>
      </c>
      <c r="E9" s="3" t="n">
        <f aca="false">SUMIF('IB 10ft'!A:A,"&lt;&gt;TOTALS",'IB 10ft'!H:H)</f>
        <v>25973.498590954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15946.6242250247</v>
      </c>
      <c r="E10" s="3" t="n">
        <f aca="false">SUMIF('IB 12ft'!A:A,"&lt;&gt;TOTALS",'IB 12ft'!H:H)</f>
        <v>28993.8622273176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17192.9242250247</v>
      </c>
      <c r="E11" s="3" t="n">
        <f aca="false">SUMIF('IB 14ft'!A:A,"&lt;&gt;TOTALS",'IB 14ft'!H:H)</f>
        <v>31259.8622273176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20345.0242250247</v>
      </c>
      <c r="E12" s="3" t="n">
        <f aca="false">SUMIF('IB 16ft'!A:A,"&lt;&gt;TOTALS",'IB 16ft'!H:H)</f>
        <v>36990.9531364086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24099.1242250247</v>
      </c>
      <c r="E13" s="3" t="n">
        <f aca="false">SUMIF('IB 20ft'!A:A,"&lt;&gt;TOTALS",'IB 20ft'!H:H)</f>
        <v>43816.5895000449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12</v>
      </c>
      <c r="D8" s="7" t="s">
        <v>40</v>
      </c>
      <c r="E8" s="9" t="n">
        <v>45</v>
      </c>
      <c r="F8" s="9" t="n">
        <f aca="false">C8*E8</f>
        <v>540</v>
      </c>
      <c r="G8" s="9" t="n">
        <f aca="false">E8*1.81818181818182</f>
        <v>81.8181818181818</v>
      </c>
      <c r="H8" s="9" t="n">
        <f aca="false">C8*G8</f>
        <v>981.818181818182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350</v>
      </c>
      <c r="F9" s="9" t="n">
        <f aca="false">C9*E9</f>
        <v>4550</v>
      </c>
      <c r="G9" s="9" t="n">
        <f aca="false">E9*1.81818181818182</f>
        <v>636.363636363636</v>
      </c>
      <c r="H9" s="9" t="n">
        <f aca="false">C9*G9</f>
        <v>8272.72727272727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2.5</v>
      </c>
      <c r="F10" s="9" t="n">
        <f aca="false">C10*E10</f>
        <v>450</v>
      </c>
      <c r="G10" s="9" t="n">
        <f aca="false">E10*1.81818181818182</f>
        <v>4.54545454545455</v>
      </c>
      <c r="H10" s="9" t="n">
        <f aca="false">C10*G10</f>
        <v>818.181818181818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12</v>
      </c>
      <c r="F12" s="9" t="n">
        <f aca="false">C12*E12</f>
        <v>144</v>
      </c>
      <c r="G12" s="9" t="n">
        <f aca="false">E12*1.81818181818182</f>
        <v>21.8181818181818</v>
      </c>
      <c r="H12" s="9" t="n">
        <f aca="false">C12*G12</f>
        <v>261.818181818182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500</v>
      </c>
      <c r="D13" s="7" t="s">
        <v>43</v>
      </c>
      <c r="E13" s="9" t="n">
        <v>3.75</v>
      </c>
      <c r="F13" s="9" t="n">
        <f aca="false">C13*E13</f>
        <v>1875</v>
      </c>
      <c r="G13" s="9" t="n">
        <f aca="false">E13*1.81818181818182</f>
        <v>6.81818181818182</v>
      </c>
      <c r="H13" s="9" t="n">
        <f aca="false">C13*G13</f>
        <v>3409.09090909091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360</v>
      </c>
      <c r="D14" s="7" t="s">
        <v>43</v>
      </c>
      <c r="E14" s="9" t="n">
        <v>3.5</v>
      </c>
      <c r="F14" s="9" t="n">
        <f aca="false">C14*E14</f>
        <v>1260</v>
      </c>
      <c r="G14" s="9" t="n">
        <f aca="false">E14*1.81818181818182</f>
        <v>6.36363636363636</v>
      </c>
      <c r="H14" s="9" t="n">
        <f aca="false">C14*G14</f>
        <v>2290.90909090909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58</v>
      </c>
      <c r="F15" s="9" t="n">
        <f aca="false">C15*E15</f>
        <v>1972</v>
      </c>
      <c r="G15" s="9" t="n">
        <f aca="false">E15*1.81818181818182</f>
        <v>105.454545454545</v>
      </c>
      <c r="H15" s="9" t="n">
        <f aca="false">C15*G15</f>
        <v>3585.45454545455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60</v>
      </c>
      <c r="D19" s="7" t="s">
        <v>52</v>
      </c>
      <c r="E19" s="9" t="n">
        <v>35</v>
      </c>
      <c r="F19" s="9" t="n">
        <f aca="false">C19*E19</f>
        <v>2100</v>
      </c>
      <c r="G19" s="9" t="n">
        <f aca="false">E19*1.81818181818182</f>
        <v>63.6363636363636</v>
      </c>
      <c r="H19" s="9" t="n">
        <f aca="false">C19*G19</f>
        <v>3818.18181818182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900</v>
      </c>
      <c r="D21" s="7" t="s">
        <v>40</v>
      </c>
      <c r="E21" s="9" t="n">
        <v>0.16</v>
      </c>
      <c r="F21" s="9" t="n">
        <f aca="false">C21*E21</f>
        <v>144</v>
      </c>
      <c r="G21" s="9" t="n">
        <f aca="false">E21*1.81818181818182</f>
        <v>0.290909090909091</v>
      </c>
      <c r="H21" s="9" t="n">
        <f aca="false">C21*G21</f>
        <v>261.818181818182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180</v>
      </c>
      <c r="D26" s="7" t="s">
        <v>43</v>
      </c>
      <c r="E26" s="9" t="n">
        <v>0.75</v>
      </c>
      <c r="F26" s="9" t="n">
        <f aca="false">C26*E26</f>
        <v>135</v>
      </c>
      <c r="G26" s="9" t="n">
        <f aca="false">E26*1.81818181818182</f>
        <v>1.36363636363636</v>
      </c>
      <c r="H26" s="9" t="n">
        <f aca="false">C26*G26</f>
        <v>245.454545454545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48</v>
      </c>
      <c r="D29" s="7" t="s">
        <v>40</v>
      </c>
      <c r="E29" s="9" t="n">
        <v>1.25</v>
      </c>
      <c r="F29" s="9" t="n">
        <f aca="false">C29*E29</f>
        <v>60</v>
      </c>
      <c r="G29" s="9" t="n">
        <f aca="false">E29*1.81818181818182</f>
        <v>2.27272727272727</v>
      </c>
      <c r="H29" s="9" t="n">
        <f aca="false">C29*G29</f>
        <v>109.090909090909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250</v>
      </c>
      <c r="D31" s="7" t="s">
        <v>40</v>
      </c>
      <c r="E31" s="9" t="n">
        <v>0.15</v>
      </c>
      <c r="F31" s="9" t="n">
        <f aca="false">C31*E31</f>
        <v>37.5</v>
      </c>
      <c r="G31" s="9" t="n">
        <f aca="false">E31*1.81818181818182</f>
        <v>0.272727272727273</v>
      </c>
      <c r="H31" s="9" t="n">
        <f aca="false">C31*G31</f>
        <v>68.1818181818182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432</v>
      </c>
      <c r="D32" s="7" t="s">
        <v>40</v>
      </c>
      <c r="E32" s="9" t="n">
        <v>0.15</v>
      </c>
      <c r="F32" s="9" t="n">
        <f aca="false">C32*E32</f>
        <v>64.8</v>
      </c>
      <c r="G32" s="9" t="n">
        <f aca="false">E32*1.81818181818182</f>
        <v>0.272727272727273</v>
      </c>
      <c r="H32" s="9" t="n">
        <f aca="false">C32*G32</f>
        <v>117.818181818182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18</v>
      </c>
      <c r="D34" s="7" t="s">
        <v>76</v>
      </c>
      <c r="E34" s="9" t="n">
        <v>12</v>
      </c>
      <c r="F34" s="9" t="n">
        <f aca="false">C34*E34</f>
        <v>216</v>
      </c>
      <c r="G34" s="9" t="n">
        <f aca="false">E34*1.81818181818182</f>
        <v>21.8181818181818</v>
      </c>
      <c r="H34" s="9" t="n">
        <f aca="false">C34*G34</f>
        <v>392.727272727273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15203.4242250247</v>
      </c>
      <c r="H36" s="13" t="n">
        <f aca="false">SUM(H8:H35)</f>
        <v>27642.5895000449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12</v>
      </c>
      <c r="D8" s="7" t="s">
        <v>40</v>
      </c>
      <c r="E8" s="9" t="n">
        <v>54</v>
      </c>
      <c r="F8" s="9" t="n">
        <f aca="false">C8*E8</f>
        <v>648</v>
      </c>
      <c r="G8" s="9" t="n">
        <f aca="false">E8*1.81818181818182</f>
        <v>98.1818181818182</v>
      </c>
      <c r="H8" s="9" t="n">
        <f aca="false">C8*G8</f>
        <v>1178.18181818182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350</v>
      </c>
      <c r="F9" s="9" t="n">
        <f aca="false">C9*E9</f>
        <v>4550</v>
      </c>
      <c r="G9" s="9" t="n">
        <f aca="false">E9*1.81818181818182</f>
        <v>636.363636363636</v>
      </c>
      <c r="H9" s="9" t="n">
        <f aca="false">C9*G9</f>
        <v>8272.72727272727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2.75</v>
      </c>
      <c r="F10" s="9" t="n">
        <f aca="false">C10*E10</f>
        <v>495</v>
      </c>
      <c r="G10" s="9" t="n">
        <f aca="false">E10*1.81818181818182</f>
        <v>5</v>
      </c>
      <c r="H10" s="9" t="n">
        <f aca="false">C10*G10</f>
        <v>900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14</v>
      </c>
      <c r="F12" s="9" t="n">
        <f aca="false">C12*E12</f>
        <v>168</v>
      </c>
      <c r="G12" s="9" t="n">
        <f aca="false">E12*1.81818181818182</f>
        <v>25.4545454545455</v>
      </c>
      <c r="H12" s="9" t="n">
        <f aca="false">C12*G12</f>
        <v>305.454545454545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500</v>
      </c>
      <c r="D13" s="7" t="s">
        <v>43</v>
      </c>
      <c r="E13" s="9" t="n">
        <v>3.75</v>
      </c>
      <c r="F13" s="9" t="n">
        <f aca="false">C13*E13</f>
        <v>1875</v>
      </c>
      <c r="G13" s="9" t="n">
        <f aca="false">E13*1.81818181818182</f>
        <v>6.81818181818182</v>
      </c>
      <c r="H13" s="9" t="n">
        <f aca="false">C13*G13</f>
        <v>3409.09090909091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540</v>
      </c>
      <c r="D14" s="7" t="s">
        <v>43</v>
      </c>
      <c r="E14" s="9" t="n">
        <v>3.5</v>
      </c>
      <c r="F14" s="9" t="n">
        <f aca="false">C14*E14</f>
        <v>1890</v>
      </c>
      <c r="G14" s="9" t="n">
        <f aca="false">E14*1.81818181818182</f>
        <v>6.36363636363636</v>
      </c>
      <c r="H14" s="9" t="n">
        <f aca="false">C14*G14</f>
        <v>3436.36363636364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58</v>
      </c>
      <c r="F15" s="9" t="n">
        <f aca="false">C15*E15</f>
        <v>1972</v>
      </c>
      <c r="G15" s="9" t="n">
        <f aca="false">E15*1.81818181818182</f>
        <v>105.454545454545</v>
      </c>
      <c r="H15" s="9" t="n">
        <f aca="false">C15*G15</f>
        <v>3585.45454545455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60</v>
      </c>
      <c r="D19" s="7" t="s">
        <v>52</v>
      </c>
      <c r="E19" s="9" t="n">
        <v>42</v>
      </c>
      <c r="F19" s="9" t="n">
        <f aca="false">C19*E19</f>
        <v>2520</v>
      </c>
      <c r="G19" s="9" t="n">
        <f aca="false">E19*1.81818181818182</f>
        <v>76.3636363636364</v>
      </c>
      <c r="H19" s="9" t="n">
        <f aca="false">C19*G19</f>
        <v>4581.81818181818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1080</v>
      </c>
      <c r="D21" s="7" t="s">
        <v>40</v>
      </c>
      <c r="E21" s="9" t="n">
        <v>0.16</v>
      </c>
      <c r="F21" s="9" t="n">
        <f aca="false">C21*E21</f>
        <v>172.8</v>
      </c>
      <c r="G21" s="9" t="n">
        <f aca="false">E21*1.81818181818182</f>
        <v>0.290909090909091</v>
      </c>
      <c r="H21" s="9" t="n">
        <f aca="false">C21*G21</f>
        <v>314.181818181818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180</v>
      </c>
      <c r="D26" s="7" t="s">
        <v>43</v>
      </c>
      <c r="E26" s="9" t="n">
        <v>0.75</v>
      </c>
      <c r="F26" s="9" t="n">
        <f aca="false">C26*E26</f>
        <v>135</v>
      </c>
      <c r="G26" s="9" t="n">
        <f aca="false">E26*1.81818181818182</f>
        <v>1.36363636363636</v>
      </c>
      <c r="H26" s="9" t="n">
        <f aca="false">C26*G26</f>
        <v>245.454545454545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60</v>
      </c>
      <c r="D29" s="7" t="s">
        <v>40</v>
      </c>
      <c r="E29" s="9" t="n">
        <v>1.25</v>
      </c>
      <c r="F29" s="9" t="n">
        <f aca="false">C29*E29</f>
        <v>75</v>
      </c>
      <c r="G29" s="9" t="n">
        <f aca="false">E29*1.81818181818182</f>
        <v>2.27272727272727</v>
      </c>
      <c r="H29" s="9" t="n">
        <f aca="false">C29*G29</f>
        <v>136.363636363636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250</v>
      </c>
      <c r="D31" s="7" t="s">
        <v>40</v>
      </c>
      <c r="E31" s="9" t="n">
        <v>0.15</v>
      </c>
      <c r="F31" s="9" t="n">
        <f aca="false">C31*E31</f>
        <v>37.5</v>
      </c>
      <c r="G31" s="9" t="n">
        <f aca="false">E31*1.81818181818182</f>
        <v>0.272727272727273</v>
      </c>
      <c r="H31" s="9" t="n">
        <f aca="false">C31*G31</f>
        <v>68.1818181818182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648</v>
      </c>
      <c r="D32" s="7" t="s">
        <v>40</v>
      </c>
      <c r="E32" s="9" t="n">
        <v>0.15</v>
      </c>
      <c r="F32" s="9" t="n">
        <f aca="false">C32*E32</f>
        <v>97.2</v>
      </c>
      <c r="G32" s="9" t="n">
        <f aca="false">E32*1.81818181818182</f>
        <v>0.272727272727273</v>
      </c>
      <c r="H32" s="9" t="n">
        <f aca="false">C32*G32</f>
        <v>176.727272727273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22</v>
      </c>
      <c r="D34" s="7" t="s">
        <v>76</v>
      </c>
      <c r="E34" s="9" t="n">
        <v>12</v>
      </c>
      <c r="F34" s="9" t="n">
        <f aca="false">C34*E34</f>
        <v>264</v>
      </c>
      <c r="G34" s="9" t="n">
        <f aca="false">E34*1.81818181818182</f>
        <v>21.8181818181818</v>
      </c>
      <c r="H34" s="9" t="n">
        <f aca="false">C34*G34</f>
        <v>480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16648.6242250247</v>
      </c>
      <c r="H36" s="13" t="n">
        <f aca="false">SUM(H8:H35)</f>
        <v>30270.2258636813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12</v>
      </c>
      <c r="D8" s="7" t="s">
        <v>40</v>
      </c>
      <c r="E8" s="9" t="n">
        <v>68</v>
      </c>
      <c r="F8" s="9" t="n">
        <f aca="false">C8*E8</f>
        <v>816</v>
      </c>
      <c r="G8" s="9" t="n">
        <f aca="false">E8*1.81818181818182</f>
        <v>123.636363636364</v>
      </c>
      <c r="H8" s="9" t="n">
        <f aca="false">C8*G8</f>
        <v>1483.63636363636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350</v>
      </c>
      <c r="F9" s="9" t="n">
        <f aca="false">C9*E9</f>
        <v>4550</v>
      </c>
      <c r="G9" s="9" t="n">
        <f aca="false">E9*1.81818181818182</f>
        <v>636.363636363636</v>
      </c>
      <c r="H9" s="9" t="n">
        <f aca="false">C9*G9</f>
        <v>8272.72727272727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3</v>
      </c>
      <c r="F10" s="9" t="n">
        <f aca="false">C10*E10</f>
        <v>540</v>
      </c>
      <c r="G10" s="9" t="n">
        <f aca="false">E10*1.81818181818182</f>
        <v>5.45454545454545</v>
      </c>
      <c r="H10" s="9" t="n">
        <f aca="false">C10*G10</f>
        <v>981.818181818182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16</v>
      </c>
      <c r="F12" s="9" t="n">
        <f aca="false">C12*E12</f>
        <v>192</v>
      </c>
      <c r="G12" s="9" t="n">
        <f aca="false">E12*1.81818181818182</f>
        <v>29.0909090909091</v>
      </c>
      <c r="H12" s="9" t="n">
        <f aca="false">C12*G12</f>
        <v>349.090909090909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500</v>
      </c>
      <c r="D13" s="7" t="s">
        <v>43</v>
      </c>
      <c r="E13" s="9" t="n">
        <v>3.75</v>
      </c>
      <c r="F13" s="9" t="n">
        <f aca="false">C13*E13</f>
        <v>1875</v>
      </c>
      <c r="G13" s="9" t="n">
        <f aca="false">E13*1.81818181818182</f>
        <v>6.81818181818182</v>
      </c>
      <c r="H13" s="9" t="n">
        <f aca="false">C13*G13</f>
        <v>3409.09090909091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540</v>
      </c>
      <c r="D14" s="7" t="s">
        <v>43</v>
      </c>
      <c r="E14" s="9" t="n">
        <v>3.5</v>
      </c>
      <c r="F14" s="9" t="n">
        <f aca="false">C14*E14</f>
        <v>1890</v>
      </c>
      <c r="G14" s="9" t="n">
        <f aca="false">E14*1.81818181818182</f>
        <v>6.36363636363636</v>
      </c>
      <c r="H14" s="9" t="n">
        <f aca="false">C14*G14</f>
        <v>3436.36363636364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5</v>
      </c>
      <c r="D15" s="7" t="s">
        <v>45</v>
      </c>
      <c r="E15" s="9" t="n">
        <v>8.5</v>
      </c>
      <c r="F15" s="9" t="n">
        <f aca="false">C15*E15</f>
        <v>42.5</v>
      </c>
      <c r="G15" s="9" t="n">
        <f aca="false">E15*1.81818181818182</f>
        <v>15.4545454545455</v>
      </c>
      <c r="H15" s="9" t="n">
        <f aca="false">C15*G15</f>
        <v>77.2727272727273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34</v>
      </c>
      <c r="D16" s="7" t="s">
        <v>52</v>
      </c>
      <c r="E16" s="9" t="n">
        <v>58</v>
      </c>
      <c r="F16" s="9" t="n">
        <f aca="false">C16*E16</f>
        <v>1972</v>
      </c>
      <c r="G16" s="9" t="n">
        <f aca="false">E16*1.81818181818182</f>
        <v>105.454545454545</v>
      </c>
      <c r="H16" s="9" t="n">
        <f aca="false">C16*G16</f>
        <v>3585.45454545455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50</v>
      </c>
      <c r="D17" s="7" t="s">
        <v>43</v>
      </c>
      <c r="E17" s="9" t="n">
        <v>1.5</v>
      </c>
      <c r="F17" s="9" t="n">
        <f aca="false">C17*E17</f>
        <v>75</v>
      </c>
      <c r="G17" s="9" t="n">
        <f aca="false">E17*1.81818181818182</f>
        <v>2.72727272727273</v>
      </c>
      <c r="H17" s="9" t="n">
        <f aca="false">C17*G17</f>
        <v>136.363636363636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34</v>
      </c>
      <c r="D18" s="7" t="s">
        <v>40</v>
      </c>
      <c r="E18" s="9" t="n">
        <v>2</v>
      </c>
      <c r="F18" s="9" t="n">
        <f aca="false">C18*E18</f>
        <v>68</v>
      </c>
      <c r="G18" s="9" t="n">
        <f aca="false">E18*1.81818181818182</f>
        <v>3.63636363636364</v>
      </c>
      <c r="H18" s="9" t="n">
        <f aca="false">C18*G18</f>
        <v>123.636363636364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680</v>
      </c>
      <c r="D19" s="7" t="s">
        <v>40</v>
      </c>
      <c r="E19" s="9" t="n">
        <v>0.18</v>
      </c>
      <c r="F19" s="9" t="n">
        <f aca="false">C19*E19</f>
        <v>122.4</v>
      </c>
      <c r="G19" s="9" t="n">
        <f aca="false">E19*1.81818181818182</f>
        <v>0.327272727272727</v>
      </c>
      <c r="H19" s="9" t="n">
        <f aca="false">C19*G19</f>
        <v>222.545454545455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60</v>
      </c>
      <c r="D20" s="7" t="s">
        <v>52</v>
      </c>
      <c r="E20" s="9" t="n">
        <v>49</v>
      </c>
      <c r="F20" s="9" t="n">
        <f aca="false">C20*E20</f>
        <v>2940</v>
      </c>
      <c r="G20" s="9" t="n">
        <f aca="false">E20*1.81818181818182</f>
        <v>89.0909090909091</v>
      </c>
      <c r="H20" s="9" t="n">
        <f aca="false">C20*G20</f>
        <v>5345.45454545455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28</v>
      </c>
      <c r="D21" s="7" t="s">
        <v>52</v>
      </c>
      <c r="E21" s="9" t="n">
        <v>18</v>
      </c>
      <c r="F21" s="9" t="n">
        <f aca="false">C21*E21</f>
        <v>504</v>
      </c>
      <c r="G21" s="9" t="n">
        <f aca="false">E21*1.81818181818182</f>
        <v>32.7272727272727</v>
      </c>
      <c r="H21" s="9" t="n">
        <f aca="false">C21*G21</f>
        <v>916.363636363636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1260</v>
      </c>
      <c r="D22" s="7" t="s">
        <v>40</v>
      </c>
      <c r="E22" s="9" t="n">
        <v>0.16</v>
      </c>
      <c r="F22" s="9" t="n">
        <f aca="false">C22*E22</f>
        <v>201.6</v>
      </c>
      <c r="G22" s="9" t="n">
        <f aca="false">E22*1.81818181818182</f>
        <v>0.290909090909091</v>
      </c>
      <c r="H22" s="9" t="n">
        <f aca="false">C22*G22</f>
        <v>366.545454545455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10</v>
      </c>
      <c r="D23" s="7" t="s">
        <v>40</v>
      </c>
      <c r="E23" s="9" t="n">
        <v>2.5</v>
      </c>
      <c r="F23" s="9" t="n">
        <f aca="false">C23*E23</f>
        <v>25</v>
      </c>
      <c r="G23" s="9" t="n">
        <f aca="false">E23*1.81818181818182</f>
        <v>4.54545454545455</v>
      </c>
      <c r="H23" s="9" t="n">
        <f aca="false">C23*G23</f>
        <v>45.4545454545455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100</v>
      </c>
      <c r="D24" s="7" t="s">
        <v>43</v>
      </c>
      <c r="E24" s="9" t="n">
        <v>1.25</v>
      </c>
      <c r="F24" s="9" t="n">
        <f aca="false">C24*E24</f>
        <v>125</v>
      </c>
      <c r="G24" s="9" t="n">
        <f aca="false">E24*1.81818181818182</f>
        <v>2.27272727272727</v>
      </c>
      <c r="H24" s="9" t="n">
        <f aca="false">C24*G24</f>
        <v>227.272727272727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82.4621125123532</v>
      </c>
      <c r="D25" s="7" t="s">
        <v>43</v>
      </c>
      <c r="E25" s="9" t="n">
        <v>1.5</v>
      </c>
      <c r="F25" s="9" t="n">
        <f aca="false">C25*E25</f>
        <v>123.69316876853</v>
      </c>
      <c r="G25" s="9" t="n">
        <f aca="false">E25*1.81818181818182</f>
        <v>2.72727272727273</v>
      </c>
      <c r="H25" s="9" t="n">
        <f aca="false">C25*G25</f>
        <v>224.896670488236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180</v>
      </c>
      <c r="D27" s="7" t="s">
        <v>43</v>
      </c>
      <c r="E27" s="9" t="n">
        <v>0.75</v>
      </c>
      <c r="F27" s="9" t="n">
        <f aca="false">C27*E27</f>
        <v>135</v>
      </c>
      <c r="G27" s="9" t="n">
        <f aca="false">E27*1.81818181818182</f>
        <v>1.36363636363636</v>
      </c>
      <c r="H27" s="9" t="n">
        <f aca="false">C27*G27</f>
        <v>245.454545454545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100</v>
      </c>
      <c r="D28" s="7" t="s">
        <v>43</v>
      </c>
      <c r="E28" s="9" t="n">
        <v>0.85</v>
      </c>
      <c r="F28" s="9" t="n">
        <f aca="false">C28*E28</f>
        <v>85</v>
      </c>
      <c r="G28" s="9" t="n">
        <f aca="false">E28*1.81818181818182</f>
        <v>1.54545454545455</v>
      </c>
      <c r="H28" s="9" t="n">
        <f aca="false">C28*G28</f>
        <v>154.545454545455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41.2310562561766</v>
      </c>
      <c r="D29" s="7" t="s">
        <v>43</v>
      </c>
      <c r="E29" s="9" t="n">
        <v>1</v>
      </c>
      <c r="F29" s="9" t="n">
        <f aca="false">C29*E29</f>
        <v>41.2310562561766</v>
      </c>
      <c r="G29" s="9" t="n">
        <f aca="false">E29*1.81818181818182</f>
        <v>1.81818181818182</v>
      </c>
      <c r="H29" s="9" t="n">
        <f aca="false">C29*G29</f>
        <v>74.965556829412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72</v>
      </c>
      <c r="D30" s="7" t="s">
        <v>40</v>
      </c>
      <c r="E30" s="9" t="n">
        <v>1.25</v>
      </c>
      <c r="F30" s="9" t="n">
        <f aca="false">C30*E30</f>
        <v>90</v>
      </c>
      <c r="G30" s="9" t="n">
        <f aca="false">E30*1.81818181818182</f>
        <v>2.27272727272727</v>
      </c>
      <c r="H30" s="9" t="n">
        <f aca="false">C30*G30</f>
        <v>163.636363636364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48</v>
      </c>
      <c r="D31" s="7" t="s">
        <v>40</v>
      </c>
      <c r="E31" s="9" t="n">
        <v>0.85</v>
      </c>
      <c r="F31" s="9" t="n">
        <f aca="false">C31*E31</f>
        <v>40.8</v>
      </c>
      <c r="G31" s="9" t="n">
        <f aca="false">E31*1.81818181818182</f>
        <v>1.54545454545455</v>
      </c>
      <c r="H31" s="9" t="n">
        <f aca="false">C31*G31</f>
        <v>74.1818181818182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250</v>
      </c>
      <c r="D32" s="7" t="s">
        <v>40</v>
      </c>
      <c r="E32" s="9" t="n">
        <v>0.15</v>
      </c>
      <c r="F32" s="9" t="n">
        <f aca="false">C32*E32</f>
        <v>37.5</v>
      </c>
      <c r="G32" s="9" t="n">
        <f aca="false">E32*1.81818181818182</f>
        <v>0.272727272727273</v>
      </c>
      <c r="H32" s="9" t="n">
        <f aca="false">C32*G32</f>
        <v>68.1818181818182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648</v>
      </c>
      <c r="D33" s="7" t="s">
        <v>40</v>
      </c>
      <c r="E33" s="9" t="n">
        <v>0.15</v>
      </c>
      <c r="F33" s="9" t="n">
        <f aca="false">C33*E33</f>
        <v>97.2</v>
      </c>
      <c r="G33" s="9" t="n">
        <f aca="false">E33*1.81818181818182</f>
        <v>0.272727272727273</v>
      </c>
      <c r="H33" s="9" t="n">
        <f aca="false">C33*G33</f>
        <v>176.727272727273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10</v>
      </c>
      <c r="D34" s="7" t="s">
        <v>40</v>
      </c>
      <c r="E34" s="9" t="n">
        <v>12</v>
      </c>
      <c r="F34" s="9" t="n">
        <f aca="false">C34*E34</f>
        <v>120</v>
      </c>
      <c r="G34" s="9" t="n">
        <f aca="false">E34*1.81818181818182</f>
        <v>21.8181818181818</v>
      </c>
      <c r="H34" s="9" t="n">
        <f aca="false">C34*G34</f>
        <v>218.181818181818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26</v>
      </c>
      <c r="D36" s="7" t="s">
        <v>76</v>
      </c>
      <c r="E36" s="9" t="n">
        <v>12</v>
      </c>
      <c r="F36" s="9" t="n">
        <f aca="false">C36*E36</f>
        <v>312</v>
      </c>
      <c r="G36" s="9" t="n">
        <f aca="false">E36*1.81818181818182</f>
        <v>21.8181818181818</v>
      </c>
      <c r="H36" s="9" t="n">
        <f aca="false">C36*G36</f>
        <v>567.272727272727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17618.9242250247</v>
      </c>
      <c r="H38" s="13" t="n">
        <f aca="false">SUM(H8:H37)</f>
        <v>32034.4076818631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12</v>
      </c>
      <c r="D8" s="7" t="s">
        <v>40</v>
      </c>
      <c r="E8" s="9" t="n">
        <v>82</v>
      </c>
      <c r="F8" s="9" t="n">
        <f aca="false">C8*E8</f>
        <v>984</v>
      </c>
      <c r="G8" s="9" t="n">
        <f aca="false">E8*1.81818181818182</f>
        <v>149.090909090909</v>
      </c>
      <c r="H8" s="9" t="n">
        <f aca="false">C8*G8</f>
        <v>1789.09090909091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402.5</v>
      </c>
      <c r="F9" s="9" t="n">
        <f aca="false">C9*E9</f>
        <v>5232.5</v>
      </c>
      <c r="G9" s="9" t="n">
        <f aca="false">E9*1.81818181818182</f>
        <v>731.818181818182</v>
      </c>
      <c r="H9" s="9" t="n">
        <f aca="false">C9*G9</f>
        <v>9513.63636363636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3.5</v>
      </c>
      <c r="F10" s="9" t="n">
        <f aca="false">C10*E10</f>
        <v>630</v>
      </c>
      <c r="G10" s="9" t="n">
        <f aca="false">E10*1.81818181818182</f>
        <v>6.36363636363636</v>
      </c>
      <c r="H10" s="9" t="n">
        <f aca="false">C10*G10</f>
        <v>1145.45454545455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20</v>
      </c>
      <c r="F13" s="9" t="n">
        <f aca="false">C13*E13</f>
        <v>240</v>
      </c>
      <c r="G13" s="9" t="n">
        <f aca="false">E13*1.81818181818182</f>
        <v>36.3636363636364</v>
      </c>
      <c r="H13" s="9" t="n">
        <f aca="false">C13*G13</f>
        <v>436.363636363636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500</v>
      </c>
      <c r="D14" s="7" t="s">
        <v>43</v>
      </c>
      <c r="E14" s="9" t="n">
        <v>3.75</v>
      </c>
      <c r="F14" s="9" t="n">
        <f aca="false">C14*E14</f>
        <v>1875</v>
      </c>
      <c r="G14" s="9" t="n">
        <f aca="false">E14*1.81818181818182</f>
        <v>6.81818181818182</v>
      </c>
      <c r="H14" s="9" t="n">
        <f aca="false">C14*G14</f>
        <v>3409.09090909091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720</v>
      </c>
      <c r="D15" s="7" t="s">
        <v>43</v>
      </c>
      <c r="E15" s="9" t="n">
        <v>4</v>
      </c>
      <c r="F15" s="9" t="n">
        <f aca="false">C15*E15</f>
        <v>2880</v>
      </c>
      <c r="G15" s="9" t="n">
        <f aca="false">E15*1.81818181818182</f>
        <v>7.27272727272727</v>
      </c>
      <c r="H15" s="9" t="n">
        <f aca="false">C15*G15</f>
        <v>5236.36363636364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10</v>
      </c>
      <c r="D16" s="7" t="s">
        <v>45</v>
      </c>
      <c r="E16" s="9" t="n">
        <v>8.5</v>
      </c>
      <c r="F16" s="9" t="n">
        <f aca="false">C16*E16</f>
        <v>85</v>
      </c>
      <c r="G16" s="9" t="n">
        <f aca="false">E16*1.81818181818182</f>
        <v>15.4545454545455</v>
      </c>
      <c r="H16" s="9" t="n">
        <f aca="false">C16*G16</f>
        <v>154.545454545455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58</v>
      </c>
      <c r="F17" s="9" t="n">
        <f aca="false">C17*E17</f>
        <v>1972</v>
      </c>
      <c r="G17" s="9" t="n">
        <f aca="false">E17*1.81818181818182</f>
        <v>105.454545454545</v>
      </c>
      <c r="H17" s="9" t="n">
        <f aca="false">C17*G17</f>
        <v>3585.45454545455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60</v>
      </c>
      <c r="D21" s="7" t="s">
        <v>52</v>
      </c>
      <c r="E21" s="9" t="n">
        <v>56</v>
      </c>
      <c r="F21" s="9" t="n">
        <f aca="false">C21*E21</f>
        <v>3360</v>
      </c>
      <c r="G21" s="9" t="n">
        <f aca="false">E21*1.81818181818182</f>
        <v>101.818181818182</v>
      </c>
      <c r="H21" s="9" t="n">
        <f aca="false">C21*G21</f>
        <v>6109.09090909091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1440</v>
      </c>
      <c r="D23" s="7" t="s">
        <v>40</v>
      </c>
      <c r="E23" s="9" t="n">
        <v>0.16</v>
      </c>
      <c r="F23" s="9" t="n">
        <f aca="false">C23*E23</f>
        <v>230.4</v>
      </c>
      <c r="G23" s="9" t="n">
        <f aca="false">E23*1.81818181818182</f>
        <v>0.290909090909091</v>
      </c>
      <c r="H23" s="9" t="n">
        <f aca="false">C23*G23</f>
        <v>418.909090909091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180</v>
      </c>
      <c r="D28" s="7" t="s">
        <v>43</v>
      </c>
      <c r="E28" s="9" t="n">
        <v>0.75</v>
      </c>
      <c r="F28" s="9" t="n">
        <f aca="false">C28*E28</f>
        <v>135</v>
      </c>
      <c r="G28" s="9" t="n">
        <f aca="false">E28*1.81818181818182</f>
        <v>1.36363636363636</v>
      </c>
      <c r="H28" s="9" t="n">
        <f aca="false">C28*G28</f>
        <v>245.454545454545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96</v>
      </c>
      <c r="D31" s="7" t="s">
        <v>40</v>
      </c>
      <c r="E31" s="9" t="n">
        <v>1.25</v>
      </c>
      <c r="F31" s="9" t="n">
        <f aca="false">C31*E31</f>
        <v>120</v>
      </c>
      <c r="G31" s="9" t="n">
        <f aca="false">E31*1.81818181818182</f>
        <v>2.27272727272727</v>
      </c>
      <c r="H31" s="9" t="n">
        <f aca="false">C31*G31</f>
        <v>218.181818181818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250</v>
      </c>
      <c r="D33" s="7" t="s">
        <v>40</v>
      </c>
      <c r="E33" s="9" t="n">
        <v>0.15</v>
      </c>
      <c r="F33" s="9" t="n">
        <f aca="false">C33*E33</f>
        <v>37.5</v>
      </c>
      <c r="G33" s="9" t="n">
        <f aca="false">E33*1.81818181818182</f>
        <v>0.272727272727273</v>
      </c>
      <c r="H33" s="9" t="n">
        <f aca="false">C33*G33</f>
        <v>68.1818181818182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864</v>
      </c>
      <c r="D34" s="7" t="s">
        <v>40</v>
      </c>
      <c r="E34" s="9" t="n">
        <v>0.15</v>
      </c>
      <c r="F34" s="9" t="n">
        <f aca="false">C34*E34</f>
        <v>129.6</v>
      </c>
      <c r="G34" s="9" t="n">
        <f aca="false">E34*1.81818181818182</f>
        <v>0.272727272727273</v>
      </c>
      <c r="H34" s="9" t="n">
        <f aca="false">C34*G34</f>
        <v>235.636363636364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10</v>
      </c>
      <c r="D35" s="7" t="s">
        <v>40</v>
      </c>
      <c r="E35" s="9" t="n">
        <v>14</v>
      </c>
      <c r="F35" s="9" t="n">
        <f aca="false">C35*E35</f>
        <v>140</v>
      </c>
      <c r="G35" s="9" t="n">
        <f aca="false">E35*1.81818181818182</f>
        <v>25.4545454545455</v>
      </c>
      <c r="H35" s="9" t="n">
        <f aca="false">C35*G35</f>
        <v>254.545454545455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24</v>
      </c>
      <c r="D36" s="7" t="s">
        <v>40</v>
      </c>
      <c r="E36" s="9" t="n">
        <v>1.5</v>
      </c>
      <c r="F36" s="9" t="n">
        <f aca="false">C36*E36</f>
        <v>36</v>
      </c>
      <c r="G36" s="9" t="n">
        <f aca="false">E36*1.81818181818182</f>
        <v>2.72727272727273</v>
      </c>
      <c r="H36" s="9" t="n">
        <f aca="false">C36*G36</f>
        <v>65.4545454545455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29</v>
      </c>
      <c r="D38" s="7" t="s">
        <v>76</v>
      </c>
      <c r="E38" s="9" t="n">
        <v>12</v>
      </c>
      <c r="F38" s="9" t="n">
        <f aca="false">C38*E38</f>
        <v>348</v>
      </c>
      <c r="G38" s="9" t="n">
        <f aca="false">E38*1.81818181818182</f>
        <v>21.8181818181818</v>
      </c>
      <c r="H38" s="9" t="n">
        <f aca="false">C38*G38</f>
        <v>632.727272727273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20727.5242250247</v>
      </c>
      <c r="H40" s="13" t="n">
        <f aca="false">SUM(H8:H39)</f>
        <v>37686.4076818631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12</v>
      </c>
      <c r="D8" s="7" t="s">
        <v>40</v>
      </c>
      <c r="E8" s="9" t="n">
        <v>110</v>
      </c>
      <c r="F8" s="9" t="n">
        <f aca="false">C8*E8</f>
        <v>1320</v>
      </c>
      <c r="G8" s="9" t="n">
        <f aca="false">E8*1.81818181818182</f>
        <v>200</v>
      </c>
      <c r="H8" s="9" t="n">
        <f aca="false">C8*G8</f>
        <v>2400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13</v>
      </c>
      <c r="D9" s="7" t="s">
        <v>40</v>
      </c>
      <c r="E9" s="9" t="n">
        <v>455</v>
      </c>
      <c r="F9" s="9" t="n">
        <f aca="false">C9*E9</f>
        <v>5915</v>
      </c>
      <c r="G9" s="9" t="n">
        <f aca="false">E9*1.81818181818182</f>
        <v>827.272727272727</v>
      </c>
      <c r="H9" s="9" t="n">
        <f aca="false">C9*G9</f>
        <v>10754.5454545455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4.25</v>
      </c>
      <c r="F10" s="9" t="n">
        <f aca="false">C10*E10</f>
        <v>765</v>
      </c>
      <c r="G10" s="9" t="n">
        <f aca="false">E10*1.81818181818182</f>
        <v>7.72727272727273</v>
      </c>
      <c r="H10" s="9" t="n">
        <f aca="false">C10*G10</f>
        <v>1390.90909090909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28</v>
      </c>
      <c r="F13" s="9" t="n">
        <f aca="false">C13*E13</f>
        <v>336</v>
      </c>
      <c r="G13" s="9" t="n">
        <f aca="false">E13*1.81818181818182</f>
        <v>50.9090909090909</v>
      </c>
      <c r="H13" s="9" t="n">
        <f aca="false">C13*G13</f>
        <v>610.909090909091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500</v>
      </c>
      <c r="D14" s="7" t="s">
        <v>43</v>
      </c>
      <c r="E14" s="9" t="n">
        <v>3.75</v>
      </c>
      <c r="F14" s="9" t="n">
        <f aca="false">C14*E14</f>
        <v>1875</v>
      </c>
      <c r="G14" s="9" t="n">
        <f aca="false">E14*1.81818181818182</f>
        <v>6.81818181818182</v>
      </c>
      <c r="H14" s="9" t="n">
        <f aca="false">C14*G14</f>
        <v>3409.09090909091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720</v>
      </c>
      <c r="D15" s="7" t="s">
        <v>43</v>
      </c>
      <c r="E15" s="9" t="n">
        <v>4.25</v>
      </c>
      <c r="F15" s="9" t="n">
        <f aca="false">C15*E15</f>
        <v>3060</v>
      </c>
      <c r="G15" s="9" t="n">
        <f aca="false">E15*1.81818181818182</f>
        <v>7.72727272727273</v>
      </c>
      <c r="H15" s="9" t="n">
        <f aca="false">C15*G15</f>
        <v>5563.63636363636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15</v>
      </c>
      <c r="D16" s="7" t="s">
        <v>45</v>
      </c>
      <c r="E16" s="9" t="n">
        <v>8.5</v>
      </c>
      <c r="F16" s="9" t="n">
        <f aca="false">C16*E16</f>
        <v>127.5</v>
      </c>
      <c r="G16" s="9" t="n">
        <f aca="false">E16*1.81818181818182</f>
        <v>15.4545454545455</v>
      </c>
      <c r="H16" s="9" t="n">
        <f aca="false">C16*G16</f>
        <v>231.818181818182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58</v>
      </c>
      <c r="F17" s="9" t="n">
        <f aca="false">C17*E17</f>
        <v>1972</v>
      </c>
      <c r="G17" s="9" t="n">
        <f aca="false">E17*1.81818181818182</f>
        <v>105.454545454545</v>
      </c>
      <c r="H17" s="9" t="n">
        <f aca="false">C17*G17</f>
        <v>3585.45454545455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60</v>
      </c>
      <c r="D21" s="7" t="s">
        <v>52</v>
      </c>
      <c r="E21" s="9" t="n">
        <v>70</v>
      </c>
      <c r="F21" s="9" t="n">
        <f aca="false">C21*E21</f>
        <v>4200</v>
      </c>
      <c r="G21" s="9" t="n">
        <f aca="false">E21*1.81818181818182</f>
        <v>127.272727272727</v>
      </c>
      <c r="H21" s="9" t="n">
        <f aca="false">C21*G21</f>
        <v>7636.36363636364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1800</v>
      </c>
      <c r="D23" s="7" t="s">
        <v>40</v>
      </c>
      <c r="E23" s="9" t="n">
        <v>0.16</v>
      </c>
      <c r="F23" s="9" t="n">
        <f aca="false">C23*E23</f>
        <v>288</v>
      </c>
      <c r="G23" s="9" t="n">
        <f aca="false">E23*1.81818181818182</f>
        <v>0.290909090909091</v>
      </c>
      <c r="H23" s="9" t="n">
        <f aca="false">C23*G23</f>
        <v>523.636363636364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180</v>
      </c>
      <c r="D28" s="7" t="s">
        <v>43</v>
      </c>
      <c r="E28" s="9" t="n">
        <v>0.75</v>
      </c>
      <c r="F28" s="9" t="n">
        <f aca="false">C28*E28</f>
        <v>135</v>
      </c>
      <c r="G28" s="9" t="n">
        <f aca="false">E28*1.81818181818182</f>
        <v>1.36363636363636</v>
      </c>
      <c r="H28" s="9" t="n">
        <f aca="false">C28*G28</f>
        <v>245.454545454545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120</v>
      </c>
      <c r="D31" s="7" t="s">
        <v>40</v>
      </c>
      <c r="E31" s="9" t="n">
        <v>1.25</v>
      </c>
      <c r="F31" s="9" t="n">
        <f aca="false">C31*E31</f>
        <v>150</v>
      </c>
      <c r="G31" s="9" t="n">
        <f aca="false">E31*1.81818181818182</f>
        <v>2.27272727272727</v>
      </c>
      <c r="H31" s="9" t="n">
        <f aca="false">C31*G31</f>
        <v>272.727272727273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250</v>
      </c>
      <c r="D33" s="7" t="s">
        <v>40</v>
      </c>
      <c r="E33" s="9" t="n">
        <v>0.15</v>
      </c>
      <c r="F33" s="9" t="n">
        <f aca="false">C33*E33</f>
        <v>37.5</v>
      </c>
      <c r="G33" s="9" t="n">
        <f aca="false">E33*1.81818181818182</f>
        <v>0.272727272727273</v>
      </c>
      <c r="H33" s="9" t="n">
        <f aca="false">C33*G33</f>
        <v>68.1818181818182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864</v>
      </c>
      <c r="D34" s="7" t="s">
        <v>40</v>
      </c>
      <c r="E34" s="9" t="n">
        <v>0.15</v>
      </c>
      <c r="F34" s="9" t="n">
        <f aca="false">C34*E34</f>
        <v>129.6</v>
      </c>
      <c r="G34" s="9" t="n">
        <f aca="false">E34*1.81818181818182</f>
        <v>0.272727272727273</v>
      </c>
      <c r="H34" s="9" t="n">
        <f aca="false">C34*G34</f>
        <v>235.636363636364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16</v>
      </c>
      <c r="F35" s="9" t="n">
        <f aca="false">C35*E35</f>
        <v>320</v>
      </c>
      <c r="G35" s="9" t="n">
        <f aca="false">E35*1.81818181818182</f>
        <v>29.0909090909091</v>
      </c>
      <c r="H35" s="9" t="n">
        <f aca="false">C35*G35</f>
        <v>581.818181818182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48</v>
      </c>
      <c r="D36" s="7" t="s">
        <v>40</v>
      </c>
      <c r="E36" s="9" t="n">
        <v>1.5</v>
      </c>
      <c r="F36" s="9" t="n">
        <f aca="false">C36*E36</f>
        <v>72</v>
      </c>
      <c r="G36" s="9" t="n">
        <f aca="false">E36*1.81818181818182</f>
        <v>2.72727272727273</v>
      </c>
      <c r="H36" s="9" t="n">
        <f aca="false">C36*G36</f>
        <v>130.909090909091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36</v>
      </c>
      <c r="D38" s="7" t="s">
        <v>76</v>
      </c>
      <c r="E38" s="9" t="n">
        <v>12</v>
      </c>
      <c r="F38" s="9" t="n">
        <f aca="false">C38*E38</f>
        <v>432</v>
      </c>
      <c r="G38" s="9" t="n">
        <f aca="false">E38*1.81818181818182</f>
        <v>21.8181818181818</v>
      </c>
      <c r="H38" s="9" t="n">
        <f aca="false">C38*G38</f>
        <v>785.454545454545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24030.1242250247</v>
      </c>
      <c r="H40" s="13" t="n">
        <f aca="false">SUM(H8:H39)</f>
        <v>43691.1349545904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12</v>
      </c>
      <c r="D8" s="7" t="s">
        <v>40</v>
      </c>
      <c r="E8" s="9" t="n">
        <v>125</v>
      </c>
      <c r="F8" s="9" t="n">
        <f aca="false">C8*E8</f>
        <v>1500</v>
      </c>
      <c r="G8" s="9" t="n">
        <f aca="false">E8*1.81818181818182</f>
        <v>227.272727272727</v>
      </c>
      <c r="H8" s="9" t="n">
        <f aca="false">C8*G8</f>
        <v>2727.27272727273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200</v>
      </c>
      <c r="F9" s="9" t="n">
        <f aca="false">C9*E9</f>
        <v>2600</v>
      </c>
      <c r="G9" s="9" t="n">
        <f aca="false">E9*1.81818181818182</f>
        <v>363.636363636364</v>
      </c>
      <c r="H9" s="9" t="n">
        <f aca="false">C9*G9</f>
        <v>4727.27272727273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2.5</v>
      </c>
      <c r="F10" s="9" t="n">
        <f aca="false">C10*E10</f>
        <v>450</v>
      </c>
      <c r="G10" s="9" t="n">
        <f aca="false">E10*1.81818181818182</f>
        <v>4.54545454545455</v>
      </c>
      <c r="H10" s="9" t="n">
        <f aca="false">C10*G10</f>
        <v>818.181818181818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18</v>
      </c>
      <c r="F12" s="9" t="n">
        <f aca="false">C12*E12</f>
        <v>216</v>
      </c>
      <c r="G12" s="9" t="n">
        <f aca="false">E12*1.81818181818182</f>
        <v>32.7272727272727</v>
      </c>
      <c r="H12" s="9" t="n">
        <f aca="false">C12*G12</f>
        <v>392.727272727273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500</v>
      </c>
      <c r="D13" s="7" t="s">
        <v>43</v>
      </c>
      <c r="E13" s="9" t="n">
        <v>3.75</v>
      </c>
      <c r="F13" s="9" t="n">
        <f aca="false">C13*E13</f>
        <v>1875</v>
      </c>
      <c r="G13" s="9" t="n">
        <f aca="false">E13*1.81818181818182</f>
        <v>6.81818181818182</v>
      </c>
      <c r="H13" s="9" t="n">
        <f aca="false">C13*G13</f>
        <v>3409.09090909091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360</v>
      </c>
      <c r="D14" s="7" t="s">
        <v>43</v>
      </c>
      <c r="E14" s="9" t="n">
        <v>3.5</v>
      </c>
      <c r="F14" s="9" t="n">
        <f aca="false">C14*E14</f>
        <v>1260</v>
      </c>
      <c r="G14" s="9" t="n">
        <f aca="false">E14*1.81818181818182</f>
        <v>6.36363636363636</v>
      </c>
      <c r="H14" s="9" t="n">
        <f aca="false">C14*G14</f>
        <v>2290.90909090909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58</v>
      </c>
      <c r="F15" s="9" t="n">
        <f aca="false">C15*E15</f>
        <v>1972</v>
      </c>
      <c r="G15" s="9" t="n">
        <f aca="false">E15*1.81818181818182</f>
        <v>105.454545454545</v>
      </c>
      <c r="H15" s="9" t="n">
        <f aca="false">C15*G15</f>
        <v>3585.45454545455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60</v>
      </c>
      <c r="D19" s="7" t="s">
        <v>52</v>
      </c>
      <c r="E19" s="9" t="n">
        <v>35</v>
      </c>
      <c r="F19" s="9" t="n">
        <f aca="false">C19*E19</f>
        <v>2100</v>
      </c>
      <c r="G19" s="9" t="n">
        <f aca="false">E19*1.81818181818182</f>
        <v>63.6363636363636</v>
      </c>
      <c r="H19" s="9" t="n">
        <f aca="false">C19*G19</f>
        <v>3818.18181818182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900</v>
      </c>
      <c r="D21" s="7" t="s">
        <v>40</v>
      </c>
      <c r="E21" s="9" t="n">
        <v>0.16</v>
      </c>
      <c r="F21" s="9" t="n">
        <f aca="false">C21*E21</f>
        <v>144</v>
      </c>
      <c r="G21" s="9" t="n">
        <f aca="false">E21*1.81818181818182</f>
        <v>0.290909090909091</v>
      </c>
      <c r="H21" s="9" t="n">
        <f aca="false">C21*G21</f>
        <v>261.818181818182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180</v>
      </c>
      <c r="D26" s="7" t="s">
        <v>43</v>
      </c>
      <c r="E26" s="9" t="n">
        <v>0.75</v>
      </c>
      <c r="F26" s="9" t="n">
        <f aca="false">C26*E26</f>
        <v>135</v>
      </c>
      <c r="G26" s="9" t="n">
        <f aca="false">E26*1.81818181818182</f>
        <v>1.36363636363636</v>
      </c>
      <c r="H26" s="9" t="n">
        <f aca="false">C26*G26</f>
        <v>245.454545454545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48</v>
      </c>
      <c r="D29" s="7" t="s">
        <v>40</v>
      </c>
      <c r="E29" s="9" t="n">
        <v>1.25</v>
      </c>
      <c r="F29" s="9" t="n">
        <f aca="false">C29*E29</f>
        <v>60</v>
      </c>
      <c r="G29" s="9" t="n">
        <f aca="false">E29*1.81818181818182</f>
        <v>2.27272727272727</v>
      </c>
      <c r="H29" s="9" t="n">
        <f aca="false">C29*G29</f>
        <v>109.090909090909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250</v>
      </c>
      <c r="D31" s="7" t="s">
        <v>40</v>
      </c>
      <c r="E31" s="9" t="n">
        <v>0.15</v>
      </c>
      <c r="F31" s="9" t="n">
        <f aca="false">C31*E31</f>
        <v>37.5</v>
      </c>
      <c r="G31" s="9" t="n">
        <f aca="false">E31*1.81818181818182</f>
        <v>0.272727272727273</v>
      </c>
      <c r="H31" s="9" t="n">
        <f aca="false">C31*G31</f>
        <v>68.1818181818182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432</v>
      </c>
      <c r="D32" s="7" t="s">
        <v>40</v>
      </c>
      <c r="E32" s="9" t="n">
        <v>0.15</v>
      </c>
      <c r="F32" s="9" t="n">
        <f aca="false">C32*E32</f>
        <v>64.8</v>
      </c>
      <c r="G32" s="9" t="n">
        <f aca="false">E32*1.81818181818182</f>
        <v>0.272727272727273</v>
      </c>
      <c r="H32" s="9" t="n">
        <f aca="false">C32*G32</f>
        <v>117.818181818182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18</v>
      </c>
      <c r="D34" s="7" t="s">
        <v>76</v>
      </c>
      <c r="E34" s="9" t="n">
        <v>12</v>
      </c>
      <c r="F34" s="9" t="n">
        <f aca="false">C34*E34</f>
        <v>216</v>
      </c>
      <c r="G34" s="9" t="n">
        <f aca="false">E34*1.81818181818182</f>
        <v>21.8181818181818</v>
      </c>
      <c r="H34" s="9" t="n">
        <f aca="false">C34*G34</f>
        <v>392.727272727273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14285.4242250247</v>
      </c>
      <c r="H36" s="13" t="n">
        <f aca="false">SUM(H8:H35)</f>
        <v>25973.498590954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12</v>
      </c>
      <c r="D8" s="7" t="s">
        <v>40</v>
      </c>
      <c r="E8" s="9" t="n">
        <v>150</v>
      </c>
      <c r="F8" s="9" t="n">
        <f aca="false">C8*E8</f>
        <v>1800</v>
      </c>
      <c r="G8" s="9" t="n">
        <f aca="false">E8*1.81818181818182</f>
        <v>272.727272727273</v>
      </c>
      <c r="H8" s="9" t="n">
        <f aca="false">C8*G8</f>
        <v>3272.72727272727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200</v>
      </c>
      <c r="F9" s="9" t="n">
        <f aca="false">C9*E9</f>
        <v>2600</v>
      </c>
      <c r="G9" s="9" t="n">
        <f aca="false">E9*1.81818181818182</f>
        <v>363.636363636364</v>
      </c>
      <c r="H9" s="9" t="n">
        <f aca="false">C9*G9</f>
        <v>4727.27272727273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2.75</v>
      </c>
      <c r="F10" s="9" t="n">
        <f aca="false">C10*E10</f>
        <v>495</v>
      </c>
      <c r="G10" s="9" t="n">
        <f aca="false">E10*1.81818181818182</f>
        <v>5</v>
      </c>
      <c r="H10" s="9" t="n">
        <f aca="false">C10*G10</f>
        <v>900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22</v>
      </c>
      <c r="F12" s="9" t="n">
        <f aca="false">C12*E12</f>
        <v>264</v>
      </c>
      <c r="G12" s="9" t="n">
        <f aca="false">E12*1.81818181818182</f>
        <v>40</v>
      </c>
      <c r="H12" s="9" t="n">
        <f aca="false">C12*G12</f>
        <v>480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500</v>
      </c>
      <c r="D13" s="7" t="s">
        <v>43</v>
      </c>
      <c r="E13" s="9" t="n">
        <v>3.75</v>
      </c>
      <c r="F13" s="9" t="n">
        <f aca="false">C13*E13</f>
        <v>1875</v>
      </c>
      <c r="G13" s="9" t="n">
        <f aca="false">E13*1.81818181818182</f>
        <v>6.81818181818182</v>
      </c>
      <c r="H13" s="9" t="n">
        <f aca="false">C13*G13</f>
        <v>3409.09090909091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540</v>
      </c>
      <c r="D14" s="7" t="s">
        <v>43</v>
      </c>
      <c r="E14" s="9" t="n">
        <v>3.5</v>
      </c>
      <c r="F14" s="9" t="n">
        <f aca="false">C14*E14</f>
        <v>1890</v>
      </c>
      <c r="G14" s="9" t="n">
        <f aca="false">E14*1.81818181818182</f>
        <v>6.36363636363636</v>
      </c>
      <c r="H14" s="9" t="n">
        <f aca="false">C14*G14</f>
        <v>3436.36363636364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34</v>
      </c>
      <c r="D15" s="7" t="s">
        <v>52</v>
      </c>
      <c r="E15" s="9" t="n">
        <v>58</v>
      </c>
      <c r="F15" s="9" t="n">
        <f aca="false">C15*E15</f>
        <v>1972</v>
      </c>
      <c r="G15" s="9" t="n">
        <f aca="false">E15*1.81818181818182</f>
        <v>105.454545454545</v>
      </c>
      <c r="H15" s="9" t="n">
        <f aca="false">C15*G15</f>
        <v>3585.45454545455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50</v>
      </c>
      <c r="D16" s="7" t="s">
        <v>43</v>
      </c>
      <c r="E16" s="9" t="n">
        <v>1.5</v>
      </c>
      <c r="F16" s="9" t="n">
        <f aca="false">C16*E16</f>
        <v>75</v>
      </c>
      <c r="G16" s="9" t="n">
        <f aca="false">E16*1.81818181818182</f>
        <v>2.72727272727273</v>
      </c>
      <c r="H16" s="9" t="n">
        <f aca="false">C16*G16</f>
        <v>136.363636363636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34</v>
      </c>
      <c r="D17" s="7" t="s">
        <v>40</v>
      </c>
      <c r="E17" s="9" t="n">
        <v>2</v>
      </c>
      <c r="F17" s="9" t="n">
        <f aca="false">C17*E17</f>
        <v>68</v>
      </c>
      <c r="G17" s="9" t="n">
        <f aca="false">E17*1.81818181818182</f>
        <v>3.63636363636364</v>
      </c>
      <c r="H17" s="9" t="n">
        <f aca="false">C17*G17</f>
        <v>123.636363636364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680</v>
      </c>
      <c r="D18" s="7" t="s">
        <v>40</v>
      </c>
      <c r="E18" s="9" t="n">
        <v>0.18</v>
      </c>
      <c r="F18" s="9" t="n">
        <f aca="false">C18*E18</f>
        <v>122.4</v>
      </c>
      <c r="G18" s="9" t="n">
        <f aca="false">E18*1.81818181818182</f>
        <v>0.327272727272727</v>
      </c>
      <c r="H18" s="9" t="n">
        <f aca="false">C18*G18</f>
        <v>222.545454545455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60</v>
      </c>
      <c r="D19" s="7" t="s">
        <v>52</v>
      </c>
      <c r="E19" s="9" t="n">
        <v>42</v>
      </c>
      <c r="F19" s="9" t="n">
        <f aca="false">C19*E19</f>
        <v>2520</v>
      </c>
      <c r="G19" s="9" t="n">
        <f aca="false">E19*1.81818181818182</f>
        <v>76.3636363636364</v>
      </c>
      <c r="H19" s="9" t="n">
        <f aca="false">C19*G19</f>
        <v>4581.81818181818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28</v>
      </c>
      <c r="D20" s="7" t="s">
        <v>52</v>
      </c>
      <c r="E20" s="9" t="n">
        <v>18</v>
      </c>
      <c r="F20" s="9" t="n">
        <f aca="false">C20*E20</f>
        <v>504</v>
      </c>
      <c r="G20" s="9" t="n">
        <f aca="false">E20*1.81818181818182</f>
        <v>32.7272727272727</v>
      </c>
      <c r="H20" s="9" t="n">
        <f aca="false">C20*G20</f>
        <v>916.363636363636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1080</v>
      </c>
      <c r="D21" s="7" t="s">
        <v>40</v>
      </c>
      <c r="E21" s="9" t="n">
        <v>0.16</v>
      </c>
      <c r="F21" s="9" t="n">
        <f aca="false">C21*E21</f>
        <v>172.8</v>
      </c>
      <c r="G21" s="9" t="n">
        <f aca="false">E21*1.81818181818182</f>
        <v>0.290909090909091</v>
      </c>
      <c r="H21" s="9" t="n">
        <f aca="false">C21*G21</f>
        <v>314.181818181818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10</v>
      </c>
      <c r="D22" s="7" t="s">
        <v>40</v>
      </c>
      <c r="E22" s="9" t="n">
        <v>2.5</v>
      </c>
      <c r="F22" s="9" t="n">
        <f aca="false">C22*E22</f>
        <v>25</v>
      </c>
      <c r="G22" s="9" t="n">
        <f aca="false">E22*1.81818181818182</f>
        <v>4.54545454545455</v>
      </c>
      <c r="H22" s="9" t="n">
        <f aca="false">C22*G22</f>
        <v>45.4545454545455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100</v>
      </c>
      <c r="D23" s="7" t="s">
        <v>43</v>
      </c>
      <c r="E23" s="9" t="n">
        <v>1.25</v>
      </c>
      <c r="F23" s="9" t="n">
        <f aca="false">C23*E23</f>
        <v>125</v>
      </c>
      <c r="G23" s="9" t="n">
        <f aca="false">E23*1.81818181818182</f>
        <v>2.27272727272727</v>
      </c>
      <c r="H23" s="9" t="n">
        <f aca="false">C23*G23</f>
        <v>227.272727272727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82.4621125123532</v>
      </c>
      <c r="D24" s="7" t="s">
        <v>43</v>
      </c>
      <c r="E24" s="9" t="n">
        <v>1.5</v>
      </c>
      <c r="F24" s="9" t="n">
        <f aca="false">C24*E24</f>
        <v>123.69316876853</v>
      </c>
      <c r="G24" s="9" t="n">
        <f aca="false">E24*1.81818181818182</f>
        <v>2.72727272727273</v>
      </c>
      <c r="H24" s="9" t="n">
        <f aca="false">C24*G24</f>
        <v>224.896670488236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180</v>
      </c>
      <c r="D26" s="7" t="s">
        <v>43</v>
      </c>
      <c r="E26" s="9" t="n">
        <v>0.75</v>
      </c>
      <c r="F26" s="9" t="n">
        <f aca="false">C26*E26</f>
        <v>135</v>
      </c>
      <c r="G26" s="9" t="n">
        <f aca="false">E26*1.81818181818182</f>
        <v>1.36363636363636</v>
      </c>
      <c r="H26" s="9" t="n">
        <f aca="false">C26*G26</f>
        <v>245.454545454545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100</v>
      </c>
      <c r="D27" s="7" t="s">
        <v>43</v>
      </c>
      <c r="E27" s="9" t="n">
        <v>0.85</v>
      </c>
      <c r="F27" s="9" t="n">
        <f aca="false">C27*E27</f>
        <v>85</v>
      </c>
      <c r="G27" s="9" t="n">
        <f aca="false">E27*1.81818181818182</f>
        <v>1.54545454545455</v>
      </c>
      <c r="H27" s="9" t="n">
        <f aca="false">C27*G27</f>
        <v>154.545454545455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41.2310562561766</v>
      </c>
      <c r="D28" s="7" t="s">
        <v>43</v>
      </c>
      <c r="E28" s="9" t="n">
        <v>1</v>
      </c>
      <c r="F28" s="9" t="n">
        <f aca="false">C28*E28</f>
        <v>41.2310562561766</v>
      </c>
      <c r="G28" s="9" t="n">
        <f aca="false">E28*1.81818181818182</f>
        <v>1.81818181818182</v>
      </c>
      <c r="H28" s="9" t="n">
        <f aca="false">C28*G28</f>
        <v>74.965556829412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60</v>
      </c>
      <c r="D29" s="7" t="s">
        <v>40</v>
      </c>
      <c r="E29" s="9" t="n">
        <v>1.25</v>
      </c>
      <c r="F29" s="9" t="n">
        <f aca="false">C29*E29</f>
        <v>75</v>
      </c>
      <c r="G29" s="9" t="n">
        <f aca="false">E29*1.81818181818182</f>
        <v>2.27272727272727</v>
      </c>
      <c r="H29" s="9" t="n">
        <f aca="false">C29*G29</f>
        <v>136.363636363636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48</v>
      </c>
      <c r="D30" s="7" t="s">
        <v>40</v>
      </c>
      <c r="E30" s="9" t="n">
        <v>0.85</v>
      </c>
      <c r="F30" s="9" t="n">
        <f aca="false">C30*E30</f>
        <v>40.8</v>
      </c>
      <c r="G30" s="9" t="n">
        <f aca="false">E30*1.81818181818182</f>
        <v>1.54545454545455</v>
      </c>
      <c r="H30" s="9" t="n">
        <f aca="false">C30*G30</f>
        <v>74.1818181818182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250</v>
      </c>
      <c r="D31" s="7" t="s">
        <v>40</v>
      </c>
      <c r="E31" s="9" t="n">
        <v>0.15</v>
      </c>
      <c r="F31" s="9" t="n">
        <f aca="false">C31*E31</f>
        <v>37.5</v>
      </c>
      <c r="G31" s="9" t="n">
        <f aca="false">E31*1.81818181818182</f>
        <v>0.272727272727273</v>
      </c>
      <c r="H31" s="9" t="n">
        <f aca="false">C31*G31</f>
        <v>68.1818181818182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648</v>
      </c>
      <c r="D32" s="7" t="s">
        <v>40</v>
      </c>
      <c r="E32" s="9" t="n">
        <v>0.15</v>
      </c>
      <c r="F32" s="9" t="n">
        <f aca="false">C32*E32</f>
        <v>97.2</v>
      </c>
      <c r="G32" s="9" t="n">
        <f aca="false">E32*1.81818181818182</f>
        <v>0.272727272727273</v>
      </c>
      <c r="H32" s="9" t="n">
        <f aca="false">C32*G32</f>
        <v>176.727272727273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22</v>
      </c>
      <c r="D34" s="7" t="s">
        <v>76</v>
      </c>
      <c r="E34" s="9" t="n">
        <v>12</v>
      </c>
      <c r="F34" s="9" t="n">
        <f aca="false">C34*E34</f>
        <v>264</v>
      </c>
      <c r="G34" s="9" t="n">
        <f aca="false">E34*1.81818181818182</f>
        <v>21.8181818181818</v>
      </c>
      <c r="H34" s="9" t="n">
        <f aca="false">C34*G34</f>
        <v>480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15946.6242250247</v>
      </c>
      <c r="H36" s="13" t="n">
        <f aca="false">SUM(H8:H35)</f>
        <v>28993.8622273176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12</v>
      </c>
      <c r="D8" s="7" t="s">
        <v>40</v>
      </c>
      <c r="E8" s="9" t="n">
        <v>185</v>
      </c>
      <c r="F8" s="9" t="n">
        <f aca="false">C8*E8</f>
        <v>2220</v>
      </c>
      <c r="G8" s="9" t="n">
        <f aca="false">E8*1.81818181818182</f>
        <v>336.363636363636</v>
      </c>
      <c r="H8" s="9" t="n">
        <f aca="false">C8*G8</f>
        <v>4036.36363636364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200</v>
      </c>
      <c r="F9" s="9" t="n">
        <f aca="false">C9*E9</f>
        <v>2600</v>
      </c>
      <c r="G9" s="9" t="n">
        <f aca="false">E9*1.81818181818182</f>
        <v>363.636363636364</v>
      </c>
      <c r="H9" s="9" t="n">
        <f aca="false">C9*G9</f>
        <v>4727.27272727273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3</v>
      </c>
      <c r="F10" s="9" t="n">
        <f aca="false">C10*E10</f>
        <v>540</v>
      </c>
      <c r="G10" s="9" t="n">
        <f aca="false">E10*1.81818181818182</f>
        <v>5.45454545454545</v>
      </c>
      <c r="H10" s="9" t="n">
        <f aca="false">C10*G10</f>
        <v>981.818181818182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12</v>
      </c>
      <c r="D12" s="7" t="s">
        <v>40</v>
      </c>
      <c r="E12" s="9" t="n">
        <v>26</v>
      </c>
      <c r="F12" s="9" t="n">
        <f aca="false">C12*E12</f>
        <v>312</v>
      </c>
      <c r="G12" s="9" t="n">
        <f aca="false">E12*1.81818181818182</f>
        <v>47.2727272727273</v>
      </c>
      <c r="H12" s="9" t="n">
        <f aca="false">C12*G12</f>
        <v>567.272727272727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500</v>
      </c>
      <c r="D13" s="7" t="s">
        <v>43</v>
      </c>
      <c r="E13" s="9" t="n">
        <v>3.75</v>
      </c>
      <c r="F13" s="9" t="n">
        <f aca="false">C13*E13</f>
        <v>1875</v>
      </c>
      <c r="G13" s="9" t="n">
        <f aca="false">E13*1.81818181818182</f>
        <v>6.81818181818182</v>
      </c>
      <c r="H13" s="9" t="n">
        <f aca="false">C13*G13</f>
        <v>3409.09090909091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540</v>
      </c>
      <c r="D14" s="7" t="s">
        <v>43</v>
      </c>
      <c r="E14" s="9" t="n">
        <v>3.5</v>
      </c>
      <c r="F14" s="9" t="n">
        <f aca="false">C14*E14</f>
        <v>1890</v>
      </c>
      <c r="G14" s="9" t="n">
        <f aca="false">E14*1.81818181818182</f>
        <v>6.36363636363636</v>
      </c>
      <c r="H14" s="9" t="n">
        <f aca="false">C14*G14</f>
        <v>3436.36363636364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5</v>
      </c>
      <c r="D15" s="7" t="s">
        <v>45</v>
      </c>
      <c r="E15" s="9" t="n">
        <v>8.5</v>
      </c>
      <c r="F15" s="9" t="n">
        <f aca="false">C15*E15</f>
        <v>42.5</v>
      </c>
      <c r="G15" s="9" t="n">
        <f aca="false">E15*1.81818181818182</f>
        <v>15.4545454545455</v>
      </c>
      <c r="H15" s="9" t="n">
        <f aca="false">C15*G15</f>
        <v>77.2727272727273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34</v>
      </c>
      <c r="D16" s="7" t="s">
        <v>52</v>
      </c>
      <c r="E16" s="9" t="n">
        <v>58</v>
      </c>
      <c r="F16" s="9" t="n">
        <f aca="false">C16*E16</f>
        <v>1972</v>
      </c>
      <c r="G16" s="9" t="n">
        <f aca="false">E16*1.81818181818182</f>
        <v>105.454545454545</v>
      </c>
      <c r="H16" s="9" t="n">
        <f aca="false">C16*G16</f>
        <v>3585.45454545455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50</v>
      </c>
      <c r="D17" s="7" t="s">
        <v>43</v>
      </c>
      <c r="E17" s="9" t="n">
        <v>1.5</v>
      </c>
      <c r="F17" s="9" t="n">
        <f aca="false">C17*E17</f>
        <v>75</v>
      </c>
      <c r="G17" s="9" t="n">
        <f aca="false">E17*1.81818181818182</f>
        <v>2.72727272727273</v>
      </c>
      <c r="H17" s="9" t="n">
        <f aca="false">C17*G17</f>
        <v>136.363636363636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34</v>
      </c>
      <c r="D18" s="7" t="s">
        <v>40</v>
      </c>
      <c r="E18" s="9" t="n">
        <v>2</v>
      </c>
      <c r="F18" s="9" t="n">
        <f aca="false">C18*E18</f>
        <v>68</v>
      </c>
      <c r="G18" s="9" t="n">
        <f aca="false">E18*1.81818181818182</f>
        <v>3.63636363636364</v>
      </c>
      <c r="H18" s="9" t="n">
        <f aca="false">C18*G18</f>
        <v>123.636363636364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680</v>
      </c>
      <c r="D19" s="7" t="s">
        <v>40</v>
      </c>
      <c r="E19" s="9" t="n">
        <v>0.18</v>
      </c>
      <c r="F19" s="9" t="n">
        <f aca="false">C19*E19</f>
        <v>122.4</v>
      </c>
      <c r="G19" s="9" t="n">
        <f aca="false">E19*1.81818181818182</f>
        <v>0.327272727272727</v>
      </c>
      <c r="H19" s="9" t="n">
        <f aca="false">C19*G19</f>
        <v>222.545454545455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60</v>
      </c>
      <c r="D20" s="7" t="s">
        <v>52</v>
      </c>
      <c r="E20" s="9" t="n">
        <v>49</v>
      </c>
      <c r="F20" s="9" t="n">
        <f aca="false">C20*E20</f>
        <v>2940</v>
      </c>
      <c r="G20" s="9" t="n">
        <f aca="false">E20*1.81818181818182</f>
        <v>89.0909090909091</v>
      </c>
      <c r="H20" s="9" t="n">
        <f aca="false">C20*G20</f>
        <v>5345.45454545455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28</v>
      </c>
      <c r="D21" s="7" t="s">
        <v>52</v>
      </c>
      <c r="E21" s="9" t="n">
        <v>18</v>
      </c>
      <c r="F21" s="9" t="n">
        <f aca="false">C21*E21</f>
        <v>504</v>
      </c>
      <c r="G21" s="9" t="n">
        <f aca="false">E21*1.81818181818182</f>
        <v>32.7272727272727</v>
      </c>
      <c r="H21" s="9" t="n">
        <f aca="false">C21*G21</f>
        <v>916.363636363636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1260</v>
      </c>
      <c r="D22" s="7" t="s">
        <v>40</v>
      </c>
      <c r="E22" s="9" t="n">
        <v>0.16</v>
      </c>
      <c r="F22" s="9" t="n">
        <f aca="false">C22*E22</f>
        <v>201.6</v>
      </c>
      <c r="G22" s="9" t="n">
        <f aca="false">E22*1.81818181818182</f>
        <v>0.290909090909091</v>
      </c>
      <c r="H22" s="9" t="n">
        <f aca="false">C22*G22</f>
        <v>366.545454545455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10</v>
      </c>
      <c r="D23" s="7" t="s">
        <v>40</v>
      </c>
      <c r="E23" s="9" t="n">
        <v>2.5</v>
      </c>
      <c r="F23" s="9" t="n">
        <f aca="false">C23*E23</f>
        <v>25</v>
      </c>
      <c r="G23" s="9" t="n">
        <f aca="false">E23*1.81818181818182</f>
        <v>4.54545454545455</v>
      </c>
      <c r="H23" s="9" t="n">
        <f aca="false">C23*G23</f>
        <v>45.4545454545455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100</v>
      </c>
      <c r="D24" s="7" t="s">
        <v>43</v>
      </c>
      <c r="E24" s="9" t="n">
        <v>1.25</v>
      </c>
      <c r="F24" s="9" t="n">
        <f aca="false">C24*E24</f>
        <v>125</v>
      </c>
      <c r="G24" s="9" t="n">
        <f aca="false">E24*1.81818181818182</f>
        <v>2.27272727272727</v>
      </c>
      <c r="H24" s="9" t="n">
        <f aca="false">C24*G24</f>
        <v>227.272727272727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82.4621125123532</v>
      </c>
      <c r="D25" s="7" t="s">
        <v>43</v>
      </c>
      <c r="E25" s="9" t="n">
        <v>1.5</v>
      </c>
      <c r="F25" s="9" t="n">
        <f aca="false">C25*E25</f>
        <v>123.69316876853</v>
      </c>
      <c r="G25" s="9" t="n">
        <f aca="false">E25*1.81818181818182</f>
        <v>2.72727272727273</v>
      </c>
      <c r="H25" s="9" t="n">
        <f aca="false">C25*G25</f>
        <v>224.896670488236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180</v>
      </c>
      <c r="D27" s="7" t="s">
        <v>43</v>
      </c>
      <c r="E27" s="9" t="n">
        <v>0.75</v>
      </c>
      <c r="F27" s="9" t="n">
        <f aca="false">C27*E27</f>
        <v>135</v>
      </c>
      <c r="G27" s="9" t="n">
        <f aca="false">E27*1.81818181818182</f>
        <v>1.36363636363636</v>
      </c>
      <c r="H27" s="9" t="n">
        <f aca="false">C27*G27</f>
        <v>245.454545454545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100</v>
      </c>
      <c r="D28" s="7" t="s">
        <v>43</v>
      </c>
      <c r="E28" s="9" t="n">
        <v>0.85</v>
      </c>
      <c r="F28" s="9" t="n">
        <f aca="false">C28*E28</f>
        <v>85</v>
      </c>
      <c r="G28" s="9" t="n">
        <f aca="false">E28*1.81818181818182</f>
        <v>1.54545454545455</v>
      </c>
      <c r="H28" s="9" t="n">
        <f aca="false">C28*G28</f>
        <v>154.545454545455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41.2310562561766</v>
      </c>
      <c r="D29" s="7" t="s">
        <v>43</v>
      </c>
      <c r="E29" s="9" t="n">
        <v>1</v>
      </c>
      <c r="F29" s="9" t="n">
        <f aca="false">C29*E29</f>
        <v>41.2310562561766</v>
      </c>
      <c r="G29" s="9" t="n">
        <f aca="false">E29*1.81818181818182</f>
        <v>1.81818181818182</v>
      </c>
      <c r="H29" s="9" t="n">
        <f aca="false">C29*G29</f>
        <v>74.965556829412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72</v>
      </c>
      <c r="D30" s="7" t="s">
        <v>40</v>
      </c>
      <c r="E30" s="9" t="n">
        <v>1.25</v>
      </c>
      <c r="F30" s="9" t="n">
        <f aca="false">C30*E30</f>
        <v>90</v>
      </c>
      <c r="G30" s="9" t="n">
        <f aca="false">E30*1.81818181818182</f>
        <v>2.27272727272727</v>
      </c>
      <c r="H30" s="9" t="n">
        <f aca="false">C30*G30</f>
        <v>163.636363636364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48</v>
      </c>
      <c r="D31" s="7" t="s">
        <v>40</v>
      </c>
      <c r="E31" s="9" t="n">
        <v>0.85</v>
      </c>
      <c r="F31" s="9" t="n">
        <f aca="false">C31*E31</f>
        <v>40.8</v>
      </c>
      <c r="G31" s="9" t="n">
        <f aca="false">E31*1.81818181818182</f>
        <v>1.54545454545455</v>
      </c>
      <c r="H31" s="9" t="n">
        <f aca="false">C31*G31</f>
        <v>74.1818181818182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250</v>
      </c>
      <c r="D32" s="7" t="s">
        <v>40</v>
      </c>
      <c r="E32" s="9" t="n">
        <v>0.15</v>
      </c>
      <c r="F32" s="9" t="n">
        <f aca="false">C32*E32</f>
        <v>37.5</v>
      </c>
      <c r="G32" s="9" t="n">
        <f aca="false">E32*1.81818181818182</f>
        <v>0.272727272727273</v>
      </c>
      <c r="H32" s="9" t="n">
        <f aca="false">C32*G32</f>
        <v>68.1818181818182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648</v>
      </c>
      <c r="D33" s="7" t="s">
        <v>40</v>
      </c>
      <c r="E33" s="9" t="n">
        <v>0.15</v>
      </c>
      <c r="F33" s="9" t="n">
        <f aca="false">C33*E33</f>
        <v>97.2</v>
      </c>
      <c r="G33" s="9" t="n">
        <f aca="false">E33*1.81818181818182</f>
        <v>0.272727272727273</v>
      </c>
      <c r="H33" s="9" t="n">
        <f aca="false">C33*G33</f>
        <v>176.727272727273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10</v>
      </c>
      <c r="D34" s="7" t="s">
        <v>40</v>
      </c>
      <c r="E34" s="9" t="n">
        <v>12</v>
      </c>
      <c r="F34" s="9" t="n">
        <f aca="false">C34*E34</f>
        <v>120</v>
      </c>
      <c r="G34" s="9" t="n">
        <f aca="false">E34*1.81818181818182</f>
        <v>21.8181818181818</v>
      </c>
      <c r="H34" s="9" t="n">
        <f aca="false">C34*G34</f>
        <v>218.181818181818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26</v>
      </c>
      <c r="D36" s="7" t="s">
        <v>76</v>
      </c>
      <c r="E36" s="9" t="n">
        <v>12</v>
      </c>
      <c r="F36" s="9" t="n">
        <f aca="false">C36*E36</f>
        <v>312</v>
      </c>
      <c r="G36" s="9" t="n">
        <f aca="false">E36*1.81818181818182</f>
        <v>21.8181818181818</v>
      </c>
      <c r="H36" s="9" t="n">
        <f aca="false">C36*G36</f>
        <v>567.272727272727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17192.9242250247</v>
      </c>
      <c r="H38" s="13" t="n">
        <f aca="false">SUM(H8:H37)</f>
        <v>31259.8622273176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12</v>
      </c>
      <c r="D8" s="7" t="s">
        <v>40</v>
      </c>
      <c r="E8" s="9" t="n">
        <v>225</v>
      </c>
      <c r="F8" s="9" t="n">
        <f aca="false">C8*E8</f>
        <v>2700</v>
      </c>
      <c r="G8" s="9" t="n">
        <f aca="false">E8*1.81818181818182</f>
        <v>409.090909090909</v>
      </c>
      <c r="H8" s="9" t="n">
        <f aca="false">C8*G8</f>
        <v>4909.09090909091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230</v>
      </c>
      <c r="F9" s="9" t="n">
        <f aca="false">C9*E9</f>
        <v>2990</v>
      </c>
      <c r="G9" s="9" t="n">
        <f aca="false">E9*1.81818181818182</f>
        <v>418.181818181818</v>
      </c>
      <c r="H9" s="9" t="n">
        <f aca="false">C9*G9</f>
        <v>5436.36363636364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3.5</v>
      </c>
      <c r="F10" s="9" t="n">
        <f aca="false">C10*E10</f>
        <v>630</v>
      </c>
      <c r="G10" s="9" t="n">
        <f aca="false">E10*1.81818181818182</f>
        <v>6.36363636363636</v>
      </c>
      <c r="H10" s="9" t="n">
        <f aca="false">C10*G10</f>
        <v>1145.45454545455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32</v>
      </c>
      <c r="F13" s="9" t="n">
        <f aca="false">C13*E13</f>
        <v>384</v>
      </c>
      <c r="G13" s="9" t="n">
        <f aca="false">E13*1.81818181818182</f>
        <v>58.1818181818182</v>
      </c>
      <c r="H13" s="9" t="n">
        <f aca="false">C13*G13</f>
        <v>698.181818181818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500</v>
      </c>
      <c r="D14" s="7" t="s">
        <v>43</v>
      </c>
      <c r="E14" s="9" t="n">
        <v>3.75</v>
      </c>
      <c r="F14" s="9" t="n">
        <f aca="false">C14*E14</f>
        <v>1875</v>
      </c>
      <c r="G14" s="9" t="n">
        <f aca="false">E14*1.81818181818182</f>
        <v>6.81818181818182</v>
      </c>
      <c r="H14" s="9" t="n">
        <f aca="false">C14*G14</f>
        <v>3409.09090909091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720</v>
      </c>
      <c r="D15" s="7" t="s">
        <v>43</v>
      </c>
      <c r="E15" s="9" t="n">
        <v>4</v>
      </c>
      <c r="F15" s="9" t="n">
        <f aca="false">C15*E15</f>
        <v>2880</v>
      </c>
      <c r="G15" s="9" t="n">
        <f aca="false">E15*1.81818181818182</f>
        <v>7.27272727272727</v>
      </c>
      <c r="H15" s="9" t="n">
        <f aca="false">C15*G15</f>
        <v>5236.36363636364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10</v>
      </c>
      <c r="D16" s="7" t="s">
        <v>45</v>
      </c>
      <c r="E16" s="9" t="n">
        <v>8.5</v>
      </c>
      <c r="F16" s="9" t="n">
        <f aca="false">C16*E16</f>
        <v>85</v>
      </c>
      <c r="G16" s="9" t="n">
        <f aca="false">E16*1.81818181818182</f>
        <v>15.4545454545455</v>
      </c>
      <c r="H16" s="9" t="n">
        <f aca="false">C16*G16</f>
        <v>154.545454545455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58</v>
      </c>
      <c r="F17" s="9" t="n">
        <f aca="false">C17*E17</f>
        <v>1972</v>
      </c>
      <c r="G17" s="9" t="n">
        <f aca="false">E17*1.81818181818182</f>
        <v>105.454545454545</v>
      </c>
      <c r="H17" s="9" t="n">
        <f aca="false">C17*G17</f>
        <v>3585.45454545455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60</v>
      </c>
      <c r="D21" s="7" t="s">
        <v>52</v>
      </c>
      <c r="E21" s="9" t="n">
        <v>56</v>
      </c>
      <c r="F21" s="9" t="n">
        <f aca="false">C21*E21</f>
        <v>3360</v>
      </c>
      <c r="G21" s="9" t="n">
        <f aca="false">E21*1.81818181818182</f>
        <v>101.818181818182</v>
      </c>
      <c r="H21" s="9" t="n">
        <f aca="false">C21*G21</f>
        <v>6109.09090909091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1440</v>
      </c>
      <c r="D23" s="7" t="s">
        <v>40</v>
      </c>
      <c r="E23" s="9" t="n">
        <v>0.16</v>
      </c>
      <c r="F23" s="9" t="n">
        <f aca="false">C23*E23</f>
        <v>230.4</v>
      </c>
      <c r="G23" s="9" t="n">
        <f aca="false">E23*1.81818181818182</f>
        <v>0.290909090909091</v>
      </c>
      <c r="H23" s="9" t="n">
        <f aca="false">C23*G23</f>
        <v>418.909090909091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180</v>
      </c>
      <c r="D28" s="7" t="s">
        <v>43</v>
      </c>
      <c r="E28" s="9" t="n">
        <v>0.75</v>
      </c>
      <c r="F28" s="9" t="n">
        <f aca="false">C28*E28</f>
        <v>135</v>
      </c>
      <c r="G28" s="9" t="n">
        <f aca="false">E28*1.81818181818182</f>
        <v>1.36363636363636</v>
      </c>
      <c r="H28" s="9" t="n">
        <f aca="false">C28*G28</f>
        <v>245.454545454545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96</v>
      </c>
      <c r="D31" s="7" t="s">
        <v>40</v>
      </c>
      <c r="E31" s="9" t="n">
        <v>1.25</v>
      </c>
      <c r="F31" s="9" t="n">
        <f aca="false">C31*E31</f>
        <v>120</v>
      </c>
      <c r="G31" s="9" t="n">
        <f aca="false">E31*1.81818181818182</f>
        <v>2.27272727272727</v>
      </c>
      <c r="H31" s="9" t="n">
        <f aca="false">C31*G31</f>
        <v>218.181818181818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250</v>
      </c>
      <c r="D33" s="7" t="s">
        <v>40</v>
      </c>
      <c r="E33" s="9" t="n">
        <v>0.15</v>
      </c>
      <c r="F33" s="9" t="n">
        <f aca="false">C33*E33</f>
        <v>37.5</v>
      </c>
      <c r="G33" s="9" t="n">
        <f aca="false">E33*1.81818181818182</f>
        <v>0.272727272727273</v>
      </c>
      <c r="H33" s="9" t="n">
        <f aca="false">C33*G33</f>
        <v>68.1818181818182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864</v>
      </c>
      <c r="D34" s="7" t="s">
        <v>40</v>
      </c>
      <c r="E34" s="9" t="n">
        <v>0.15</v>
      </c>
      <c r="F34" s="9" t="n">
        <f aca="false">C34*E34</f>
        <v>129.6</v>
      </c>
      <c r="G34" s="9" t="n">
        <f aca="false">E34*1.81818181818182</f>
        <v>0.272727272727273</v>
      </c>
      <c r="H34" s="9" t="n">
        <f aca="false">C34*G34</f>
        <v>235.636363636364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10</v>
      </c>
      <c r="D35" s="7" t="s">
        <v>40</v>
      </c>
      <c r="E35" s="9" t="n">
        <v>14</v>
      </c>
      <c r="F35" s="9" t="n">
        <f aca="false">C35*E35</f>
        <v>140</v>
      </c>
      <c r="G35" s="9" t="n">
        <f aca="false">E35*1.81818181818182</f>
        <v>25.4545454545455</v>
      </c>
      <c r="H35" s="9" t="n">
        <f aca="false">C35*G35</f>
        <v>254.545454545455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24</v>
      </c>
      <c r="D36" s="7" t="s">
        <v>40</v>
      </c>
      <c r="E36" s="9" t="n">
        <v>1.5</v>
      </c>
      <c r="F36" s="9" t="n">
        <f aca="false">C36*E36</f>
        <v>36</v>
      </c>
      <c r="G36" s="9" t="n">
        <f aca="false">E36*1.81818181818182</f>
        <v>2.72727272727273</v>
      </c>
      <c r="H36" s="9" t="n">
        <f aca="false">C36*G36</f>
        <v>65.4545454545455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29</v>
      </c>
      <c r="D38" s="7" t="s">
        <v>76</v>
      </c>
      <c r="E38" s="9" t="n">
        <v>12</v>
      </c>
      <c r="F38" s="9" t="n">
        <f aca="false">C38*E38</f>
        <v>348</v>
      </c>
      <c r="G38" s="9" t="n">
        <f aca="false">E38*1.81818181818182</f>
        <v>21.8181818181818</v>
      </c>
      <c r="H38" s="9" t="n">
        <f aca="false">C38*G38</f>
        <v>632.727272727273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20345.0242250247</v>
      </c>
      <c r="H40" s="13" t="n">
        <f aca="false">SUM(H8:H39)</f>
        <v>36990.9531364086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12</v>
      </c>
      <c r="D8" s="7" t="s">
        <v>40</v>
      </c>
      <c r="E8" s="9" t="n">
        <v>310</v>
      </c>
      <c r="F8" s="9" t="n">
        <f aca="false">C8*E8</f>
        <v>3720</v>
      </c>
      <c r="G8" s="9" t="n">
        <f aca="false">E8*1.81818181818182</f>
        <v>563.636363636364</v>
      </c>
      <c r="H8" s="9" t="n">
        <f aca="false">C8*G8</f>
        <v>6763.63636363636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13</v>
      </c>
      <c r="D9" s="7" t="s">
        <v>40</v>
      </c>
      <c r="E9" s="9" t="n">
        <v>260</v>
      </c>
      <c r="F9" s="9" t="n">
        <f aca="false">C9*E9</f>
        <v>3380</v>
      </c>
      <c r="G9" s="9" t="n">
        <f aca="false">E9*1.81818181818182</f>
        <v>472.727272727273</v>
      </c>
      <c r="H9" s="9" t="n">
        <f aca="false">C9*G9</f>
        <v>6145.45454545455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180</v>
      </c>
      <c r="D10" s="7" t="s">
        <v>43</v>
      </c>
      <c r="E10" s="9" t="n">
        <v>4.25</v>
      </c>
      <c r="F10" s="9" t="n">
        <f aca="false">C10*E10</f>
        <v>765</v>
      </c>
      <c r="G10" s="9" t="n">
        <f aca="false">E10*1.81818181818182</f>
        <v>7.72727272727273</v>
      </c>
      <c r="H10" s="9" t="n">
        <f aca="false">C10*G10</f>
        <v>1390.90909090909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12</v>
      </c>
      <c r="D13" s="7" t="s">
        <v>40</v>
      </c>
      <c r="E13" s="9" t="n">
        <v>45</v>
      </c>
      <c r="F13" s="9" t="n">
        <f aca="false">C13*E13</f>
        <v>540</v>
      </c>
      <c r="G13" s="9" t="n">
        <f aca="false">E13*1.81818181818182</f>
        <v>81.8181818181818</v>
      </c>
      <c r="H13" s="9" t="n">
        <f aca="false">C13*G13</f>
        <v>981.818181818182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500</v>
      </c>
      <c r="D14" s="7" t="s">
        <v>43</v>
      </c>
      <c r="E14" s="9" t="n">
        <v>3.75</v>
      </c>
      <c r="F14" s="9" t="n">
        <f aca="false">C14*E14</f>
        <v>1875</v>
      </c>
      <c r="G14" s="9" t="n">
        <f aca="false">E14*1.81818181818182</f>
        <v>6.81818181818182</v>
      </c>
      <c r="H14" s="9" t="n">
        <f aca="false">C14*G14</f>
        <v>3409.09090909091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720</v>
      </c>
      <c r="D15" s="7" t="s">
        <v>43</v>
      </c>
      <c r="E15" s="9" t="n">
        <v>4.25</v>
      </c>
      <c r="F15" s="9" t="n">
        <f aca="false">C15*E15</f>
        <v>3060</v>
      </c>
      <c r="G15" s="9" t="n">
        <f aca="false">E15*1.81818181818182</f>
        <v>7.72727272727273</v>
      </c>
      <c r="H15" s="9" t="n">
        <f aca="false">C15*G15</f>
        <v>5563.63636363636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15</v>
      </c>
      <c r="D16" s="7" t="s">
        <v>45</v>
      </c>
      <c r="E16" s="9" t="n">
        <v>8.5</v>
      </c>
      <c r="F16" s="9" t="n">
        <f aca="false">C16*E16</f>
        <v>127.5</v>
      </c>
      <c r="G16" s="9" t="n">
        <f aca="false">E16*1.81818181818182</f>
        <v>15.4545454545455</v>
      </c>
      <c r="H16" s="9" t="n">
        <f aca="false">C16*G16</f>
        <v>231.818181818182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34</v>
      </c>
      <c r="D17" s="7" t="s">
        <v>52</v>
      </c>
      <c r="E17" s="9" t="n">
        <v>58</v>
      </c>
      <c r="F17" s="9" t="n">
        <f aca="false">C17*E17</f>
        <v>1972</v>
      </c>
      <c r="G17" s="9" t="n">
        <f aca="false">E17*1.81818181818182</f>
        <v>105.454545454545</v>
      </c>
      <c r="H17" s="9" t="n">
        <f aca="false">C17*G17</f>
        <v>3585.45454545455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50</v>
      </c>
      <c r="D18" s="7" t="s">
        <v>43</v>
      </c>
      <c r="E18" s="9" t="n">
        <v>1.5</v>
      </c>
      <c r="F18" s="9" t="n">
        <f aca="false">C18*E18</f>
        <v>75</v>
      </c>
      <c r="G18" s="9" t="n">
        <f aca="false">E18*1.81818181818182</f>
        <v>2.72727272727273</v>
      </c>
      <c r="H18" s="9" t="n">
        <f aca="false">C18*G18</f>
        <v>136.363636363636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34</v>
      </c>
      <c r="D19" s="7" t="s">
        <v>40</v>
      </c>
      <c r="E19" s="9" t="n">
        <v>2</v>
      </c>
      <c r="F19" s="9" t="n">
        <f aca="false">C19*E19</f>
        <v>68</v>
      </c>
      <c r="G19" s="9" t="n">
        <f aca="false">E19*1.81818181818182</f>
        <v>3.63636363636364</v>
      </c>
      <c r="H19" s="9" t="n">
        <f aca="false">C19*G19</f>
        <v>123.636363636364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680</v>
      </c>
      <c r="D20" s="7" t="s">
        <v>40</v>
      </c>
      <c r="E20" s="9" t="n">
        <v>0.18</v>
      </c>
      <c r="F20" s="9" t="n">
        <f aca="false">C20*E20</f>
        <v>122.4</v>
      </c>
      <c r="G20" s="9" t="n">
        <f aca="false">E20*1.81818181818182</f>
        <v>0.327272727272727</v>
      </c>
      <c r="H20" s="9" t="n">
        <f aca="false">C20*G20</f>
        <v>222.545454545455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60</v>
      </c>
      <c r="D21" s="7" t="s">
        <v>52</v>
      </c>
      <c r="E21" s="9" t="n">
        <v>70</v>
      </c>
      <c r="F21" s="9" t="n">
        <f aca="false">C21*E21</f>
        <v>4200</v>
      </c>
      <c r="G21" s="9" t="n">
        <f aca="false">E21*1.81818181818182</f>
        <v>127.272727272727</v>
      </c>
      <c r="H21" s="9" t="n">
        <f aca="false">C21*G21</f>
        <v>7636.36363636364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28</v>
      </c>
      <c r="D22" s="7" t="s">
        <v>52</v>
      </c>
      <c r="E22" s="9" t="n">
        <v>18</v>
      </c>
      <c r="F22" s="9" t="n">
        <f aca="false">C22*E22</f>
        <v>504</v>
      </c>
      <c r="G22" s="9" t="n">
        <f aca="false">E22*1.81818181818182</f>
        <v>32.7272727272727</v>
      </c>
      <c r="H22" s="9" t="n">
        <f aca="false">C22*G22</f>
        <v>916.363636363636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1800</v>
      </c>
      <c r="D23" s="7" t="s">
        <v>40</v>
      </c>
      <c r="E23" s="9" t="n">
        <v>0.16</v>
      </c>
      <c r="F23" s="9" t="n">
        <f aca="false">C23*E23</f>
        <v>288</v>
      </c>
      <c r="G23" s="9" t="n">
        <f aca="false">E23*1.81818181818182</f>
        <v>0.290909090909091</v>
      </c>
      <c r="H23" s="9" t="n">
        <f aca="false">C23*G23</f>
        <v>523.636363636364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10</v>
      </c>
      <c r="D24" s="7" t="s">
        <v>40</v>
      </c>
      <c r="E24" s="9" t="n">
        <v>2.5</v>
      </c>
      <c r="F24" s="9" t="n">
        <f aca="false">C24*E24</f>
        <v>25</v>
      </c>
      <c r="G24" s="9" t="n">
        <f aca="false">E24*1.81818181818182</f>
        <v>4.54545454545455</v>
      </c>
      <c r="H24" s="9" t="n">
        <f aca="false">C24*G24</f>
        <v>45.4545454545455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100</v>
      </c>
      <c r="D25" s="7" t="s">
        <v>43</v>
      </c>
      <c r="E25" s="9" t="n">
        <v>1.25</v>
      </c>
      <c r="F25" s="9" t="n">
        <f aca="false">C25*E25</f>
        <v>125</v>
      </c>
      <c r="G25" s="9" t="n">
        <f aca="false">E25*1.81818181818182</f>
        <v>2.27272727272727</v>
      </c>
      <c r="H25" s="9" t="n">
        <f aca="false">C25*G25</f>
        <v>227.272727272727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82.4621125123532</v>
      </c>
      <c r="D26" s="7" t="s">
        <v>43</v>
      </c>
      <c r="E26" s="9" t="n">
        <v>1.5</v>
      </c>
      <c r="F26" s="9" t="n">
        <f aca="false">C26*E26</f>
        <v>123.69316876853</v>
      </c>
      <c r="G26" s="9" t="n">
        <f aca="false">E26*1.81818181818182</f>
        <v>2.72727272727273</v>
      </c>
      <c r="H26" s="9" t="n">
        <f aca="false">C26*G26</f>
        <v>224.896670488236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180</v>
      </c>
      <c r="D28" s="7" t="s">
        <v>43</v>
      </c>
      <c r="E28" s="9" t="n">
        <v>0.75</v>
      </c>
      <c r="F28" s="9" t="n">
        <f aca="false">C28*E28</f>
        <v>135</v>
      </c>
      <c r="G28" s="9" t="n">
        <f aca="false">E28*1.81818181818182</f>
        <v>1.36363636363636</v>
      </c>
      <c r="H28" s="9" t="n">
        <f aca="false">C28*G28</f>
        <v>245.454545454545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100</v>
      </c>
      <c r="D29" s="7" t="s">
        <v>43</v>
      </c>
      <c r="E29" s="9" t="n">
        <v>0.85</v>
      </c>
      <c r="F29" s="9" t="n">
        <f aca="false">C29*E29</f>
        <v>85</v>
      </c>
      <c r="G29" s="9" t="n">
        <f aca="false">E29*1.81818181818182</f>
        <v>1.54545454545455</v>
      </c>
      <c r="H29" s="9" t="n">
        <f aca="false">C29*G29</f>
        <v>154.545454545455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41.2310562561766</v>
      </c>
      <c r="D30" s="7" t="s">
        <v>43</v>
      </c>
      <c r="E30" s="9" t="n">
        <v>1</v>
      </c>
      <c r="F30" s="9" t="n">
        <f aca="false">C30*E30</f>
        <v>41.2310562561766</v>
      </c>
      <c r="G30" s="9" t="n">
        <f aca="false">E30*1.81818181818182</f>
        <v>1.81818181818182</v>
      </c>
      <c r="H30" s="9" t="n">
        <f aca="false">C30*G30</f>
        <v>74.965556829412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120</v>
      </c>
      <c r="D31" s="7" t="s">
        <v>40</v>
      </c>
      <c r="E31" s="9" t="n">
        <v>1.25</v>
      </c>
      <c r="F31" s="9" t="n">
        <f aca="false">C31*E31</f>
        <v>150</v>
      </c>
      <c r="G31" s="9" t="n">
        <f aca="false">E31*1.81818181818182</f>
        <v>2.27272727272727</v>
      </c>
      <c r="H31" s="9" t="n">
        <f aca="false">C31*G31</f>
        <v>272.727272727273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72</v>
      </c>
      <c r="D32" s="7" t="s">
        <v>40</v>
      </c>
      <c r="E32" s="9" t="n">
        <v>0.85</v>
      </c>
      <c r="F32" s="9" t="n">
        <f aca="false">C32*E32</f>
        <v>61.2</v>
      </c>
      <c r="G32" s="9" t="n">
        <f aca="false">E32*1.81818181818182</f>
        <v>1.54545454545455</v>
      </c>
      <c r="H32" s="9" t="n">
        <f aca="false">C32*G32</f>
        <v>111.272727272727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250</v>
      </c>
      <c r="D33" s="7" t="s">
        <v>40</v>
      </c>
      <c r="E33" s="9" t="n">
        <v>0.15</v>
      </c>
      <c r="F33" s="9" t="n">
        <f aca="false">C33*E33</f>
        <v>37.5</v>
      </c>
      <c r="G33" s="9" t="n">
        <f aca="false">E33*1.81818181818182</f>
        <v>0.272727272727273</v>
      </c>
      <c r="H33" s="9" t="n">
        <f aca="false">C33*G33</f>
        <v>68.1818181818182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864</v>
      </c>
      <c r="D34" s="7" t="s">
        <v>40</v>
      </c>
      <c r="E34" s="9" t="n">
        <v>0.15</v>
      </c>
      <c r="F34" s="9" t="n">
        <f aca="false">C34*E34</f>
        <v>129.6</v>
      </c>
      <c r="G34" s="9" t="n">
        <f aca="false">E34*1.81818181818182</f>
        <v>0.272727272727273</v>
      </c>
      <c r="H34" s="9" t="n">
        <f aca="false">C34*G34</f>
        <v>235.636363636364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16</v>
      </c>
      <c r="F35" s="9" t="n">
        <f aca="false">C35*E35</f>
        <v>320</v>
      </c>
      <c r="G35" s="9" t="n">
        <f aca="false">E35*1.81818181818182</f>
        <v>29.0909090909091</v>
      </c>
      <c r="H35" s="9" t="n">
        <f aca="false">C35*G35</f>
        <v>581.818181818182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48</v>
      </c>
      <c r="D36" s="7" t="s">
        <v>40</v>
      </c>
      <c r="E36" s="9" t="n">
        <v>1.5</v>
      </c>
      <c r="F36" s="9" t="n">
        <f aca="false">C36*E36</f>
        <v>72</v>
      </c>
      <c r="G36" s="9" t="n">
        <f aca="false">E36*1.81818181818182</f>
        <v>2.72727272727273</v>
      </c>
      <c r="H36" s="9" t="n">
        <f aca="false">C36*G36</f>
        <v>130.909090909091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36</v>
      </c>
      <c r="D38" s="7" t="s">
        <v>76</v>
      </c>
      <c r="E38" s="9" t="n">
        <v>12</v>
      </c>
      <c r="F38" s="9" t="n">
        <f aca="false">C38*E38</f>
        <v>432</v>
      </c>
      <c r="G38" s="9" t="n">
        <f aca="false">E38*1.81818181818182</f>
        <v>21.8181818181818</v>
      </c>
      <c r="H38" s="9" t="n">
        <f aca="false">C38*G38</f>
        <v>785.454545454545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24099.1242250247</v>
      </c>
      <c r="H40" s="13" t="n">
        <f aca="false">SUM(H8:H39)</f>
        <v>43816.5895000449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2026-02-15T01:49:03Z</dcterms:created>
  <dc:creator>openpyxl</dc:creator>
  <dc:description/>
  <dc:language>en-US</dc:language>
  <cp:lastModifiedBy/>
  <dcterms:modified xsi:type="dcterms:W3CDTF">2026-02-15T01:49:03Z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