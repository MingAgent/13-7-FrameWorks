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B 10ft" sheetId="2" state="visible" r:id="rId4"/>
    <sheet name="PB 12ft" sheetId="3" state="visible" r:id="rId5"/>
    <sheet name="PB 14ft" sheetId="4" state="visible" r:id="rId6"/>
    <sheet name="PB 16ft" sheetId="5" state="visible" r:id="rId7"/>
    <sheet name="PB 20ft" sheetId="6" state="visible" r:id="rId8"/>
    <sheet name="IB 10ft" sheetId="7" state="visible" r:id="rId9"/>
    <sheet name="IB 12ft" sheetId="8" state="visible" r:id="rId10"/>
    <sheet name="IB 14ft" sheetId="9" state="visible" r:id="rId11"/>
    <sheet name="IB 16ft" sheetId="10" state="visible" r:id="rId12"/>
    <sheet name="IB 20f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<sst xmlns="http://schemas.openxmlformats.org/spreadsheetml/2006/main" count="1087" uniqueCount="113">
  <si>
    <t xml:space="preserve">BOM Summary - 50x80 ft Building</t>
  </si>
  <si>
    <t xml:space="preserve">Configuration</t>
  </si>
  <si>
    <t xml:space="preserve">Building Type</t>
  </si>
  <si>
    <t xml:space="preserve">Eave Height</t>
  </si>
  <si>
    <t xml:space="preserve">Total Internal Cost</t>
  </si>
  <si>
    <t xml:space="preserve">Total Selling Price</t>
  </si>
  <si>
    <t xml:space="preserve">Overall Margin %</t>
  </si>
  <si>
    <t xml:space="preserve">PB 10ft</t>
  </si>
  <si>
    <t xml:space="preserve">Pole Barn</t>
  </si>
  <si>
    <t xml:space="preserve">10'</t>
  </si>
  <si>
    <t xml:space="preserve">PB 12ft</t>
  </si>
  <si>
    <t xml:space="preserve">12'</t>
  </si>
  <si>
    <t xml:space="preserve">PB 14ft</t>
  </si>
  <si>
    <t xml:space="preserve">14'</t>
  </si>
  <si>
    <t xml:space="preserve">PB 16ft</t>
  </si>
  <si>
    <t xml:space="preserve">16'</t>
  </si>
  <si>
    <t xml:space="preserve">PB 20ft</t>
  </si>
  <si>
    <t xml:space="preserve">20'</t>
  </si>
  <si>
    <t xml:space="preserve">IB 10ft</t>
  </si>
  <si>
    <t xml:space="preserve">I-Beam</t>
  </si>
  <si>
    <t xml:space="preserve">IB 12ft</t>
  </si>
  <si>
    <t xml:space="preserve">IB 14ft</t>
  </si>
  <si>
    <t xml:space="preserve">IB 16ft</t>
  </si>
  <si>
    <t xml:space="preserve">IB 20ft</t>
  </si>
  <si>
    <t xml:space="preserve">Metal Building BOM - 50x80 - PB 10ft</t>
  </si>
  <si>
    <t xml:space="preserve">Building Size: 50x80 ft</t>
  </si>
  <si>
    <t xml:space="preserve">Eave Height: 10 ft</t>
  </si>
  <si>
    <t xml:space="preserve">Building Type: Pole Barn</t>
  </si>
  <si>
    <t xml:space="preserve">Generated: 02/15/2026</t>
  </si>
  <si>
    <t xml:space="preserve">Category</t>
  </si>
  <si>
    <t xml:space="preserve">Description</t>
  </si>
  <si>
    <t xml:space="preserve">Qty</t>
  </si>
  <si>
    <t xml:space="preserve">Unit</t>
  </si>
  <si>
    <t xml:space="preserve">Unit Cost</t>
  </si>
  <si>
    <t xml:space="preserve">Total Cost</t>
  </si>
  <si>
    <t xml:space="preserve">Selling Price Unit</t>
  </si>
  <si>
    <t xml:space="preserve">Total Selling</t>
  </si>
  <si>
    <t xml:space="preserve">Margin %</t>
  </si>
  <si>
    <t xml:space="preserve">STRUCTURAL FRAME</t>
  </si>
  <si>
    <t xml:space="preserve">4" Square Tube Posts, 13' long (10' eave + 3' embed)</t>
  </si>
  <si>
    <t xml:space="preserve">ea</t>
  </si>
  <si>
    <t xml:space="preserve">Welded Trusses (Pole Barn), 50' span, 3:12 pitch (incl. height reinforcement)</t>
  </si>
  <si>
    <t xml:space="preserve">Eave Struts, C-section, 3/16" thick</t>
  </si>
  <si>
    <t xml:space="preserve">lf</t>
  </si>
  <si>
    <t xml:space="preserve">Cross Bracing Rod Sets (4x4 main, smaller secondary rods)</t>
  </si>
  <si>
    <t xml:space="preserve">sets</t>
  </si>
  <si>
    <t xml:space="preserve">Base Plates &amp; Anchor Bolt Sets (drilled, 18 per building)</t>
  </si>
  <si>
    <t xml:space="preserve">SECONDARY FRAMING</t>
  </si>
  <si>
    <t xml:space="preserve">Roof Purlins (C-purlin, 5' OC spacing)</t>
  </si>
  <si>
    <t xml:space="preserve">Wall Girts (C/Z-girt, 5' OC spacing, height-dependent rows)</t>
  </si>
  <si>
    <t xml:space="preserve">ROOFING SYSTEM</t>
  </si>
  <si>
    <t xml:space="preserve">26ga Corrugated Roof Panels (red, 3' coverage)</t>
  </si>
  <si>
    <t xml:space="preserve">panels</t>
  </si>
  <si>
    <t xml:space="preserve">Ridge Cap (26ga, painted to match)</t>
  </si>
  <si>
    <t xml:space="preserve">Ridge Closure Strips (foam, 3' length)</t>
  </si>
  <si>
    <t xml:space="preserve">Roof Panel Screws (1-5/8", TEK, w/washers &amp; sealant)</t>
  </si>
  <si>
    <t xml:space="preserve">WALL SYSTEM</t>
  </si>
  <si>
    <t xml:space="preserve">26ga Corrugated Wall Panels (10' tall, red, 3' coverage)</t>
  </si>
  <si>
    <t xml:space="preserve">Gable End Panels (triangular, 26ga, partial panels)</t>
  </si>
  <si>
    <t xml:space="preserve">Wall Panel Screws (1", TEK, w/washers &amp; sealant)</t>
  </si>
  <si>
    <t xml:space="preserve">Gable Closure Strips (foam, 4' length)</t>
  </si>
  <si>
    <t xml:space="preserve">TRIM &amp; FLASHING</t>
  </si>
  <si>
    <t xml:space="preserve">Eave Trim (aluminum, 10' lengths)</t>
  </si>
  <si>
    <t xml:space="preserve">Gable Trim (aluminum edge, both gables)</t>
  </si>
  <si>
    <t xml:space="preserve">Corner Trim (vertical posts, 4 corners, height-dependent)</t>
  </si>
  <si>
    <t xml:space="preserve">Base/Rat Guard Trim (aluminum, 1' height)</t>
  </si>
  <si>
    <t xml:space="preserve">Drip Edge / Eave Closure (metal, 10' lengths)</t>
  </si>
  <si>
    <t xml:space="preserve">Peak Trim / Closure (metal, ridge-mounted)</t>
  </si>
  <si>
    <t xml:space="preserve">HARDWARE &amp; FASTENERS</t>
  </si>
  <si>
    <t xml:space="preserve">Structural Bolts (3/4", Grade 8, w/nuts &amp; washers)</t>
  </si>
  <si>
    <t xml:space="preserve">Anchor Bolts (3/4", Grade 8, height-dependent qty)</t>
  </si>
  <si>
    <t xml:space="preserve">TEK Screws for Purlins (1", purlin-to-frame)</t>
  </si>
  <si>
    <t xml:space="preserve">TEK Screws for Girts (1", girt-to-frame, height-dependent)</t>
  </si>
  <si>
    <t xml:space="preserve">Sealant/Caulk (paintable, 1-gallon containers)</t>
  </si>
  <si>
    <t xml:space="preserve">gal</t>
  </si>
  <si>
    <t xml:space="preserve">Butyl Tape (wall panel sealing, 1-roll boxes)</t>
  </si>
  <si>
    <t xml:space="preserve">rolls</t>
  </si>
  <si>
    <t xml:space="preserve">General Hardware Kit (clips, brackets, misc bolts/screws)</t>
  </si>
  <si>
    <t xml:space="preserve">kit</t>
  </si>
  <si>
    <t xml:space="preserve">TOTALS</t>
  </si>
  <si>
    <t xml:space="preserve">Metal Building BOM - 50x80 - PB 12ft</t>
  </si>
  <si>
    <t xml:space="preserve">Eave Height: 12 ft</t>
  </si>
  <si>
    <t xml:space="preserve">4" Square Tube Posts, 15' long (12' eave + 3' embed)</t>
  </si>
  <si>
    <t xml:space="preserve">26ga Corrugated Wall Panels (12' tall, red, 3' coverage)</t>
  </si>
  <si>
    <t xml:space="preserve">Metal Building BOM - 50x80 - PB 14ft</t>
  </si>
  <si>
    <t xml:space="preserve">Eave Height: 14 ft</t>
  </si>
  <si>
    <t xml:space="preserve">4"x4"x3/16" Posts, 17' long (14' eave + 3' embed)</t>
  </si>
  <si>
    <t xml:space="preserve">Flange Braces / Sag Rods (per bay)</t>
  </si>
  <si>
    <t xml:space="preserve">26ga Corrugated Wall Panels (14' tall, red, 3' coverage)</t>
  </si>
  <si>
    <t xml:space="preserve">Fly Braces / Knee Braces (welded, per bay, height-dependent)</t>
  </si>
  <si>
    <t xml:space="preserve">Metal Building BOM - 50x80 - PB 16ft</t>
  </si>
  <si>
    <t xml:space="preserve">Eave Height: 16 ft</t>
  </si>
  <si>
    <t xml:space="preserve">6"x6"x3/16" Posts, 19' long (16' eave + 3' embed)</t>
  </si>
  <si>
    <t xml:space="preserve">Portal Frame Bracing Kits (wind resistance, welded)</t>
  </si>
  <si>
    <t xml:space="preserve">kits</t>
  </si>
  <si>
    <t xml:space="preserve">26ga Corrugated Wall Panels (16' tall, red, 3' coverage)</t>
  </si>
  <si>
    <t xml:space="preserve">DTI Washers (Turn-of-Nut, structural connections)</t>
  </si>
  <si>
    <t xml:space="preserve">Metal Building BOM - 50x80 - PB 20ft</t>
  </si>
  <si>
    <t xml:space="preserve">Eave Height: 20 ft</t>
  </si>
  <si>
    <t xml:space="preserve">6"x6"x3/16" Posts, 23' long (20' eave + 3' embed)</t>
  </si>
  <si>
    <t xml:space="preserve">26ga Corrugated Wall Panels (20' tall, red, 3' coverage)</t>
  </si>
  <si>
    <t xml:space="preserve">Metal Building BOM - 50x80 - IB 10ft</t>
  </si>
  <si>
    <t xml:space="preserve">Building Type: I-Beam</t>
  </si>
  <si>
    <t xml:space="preserve">I-Beam Columns, 10' tall, mounted to slab</t>
  </si>
  <si>
    <t xml:space="preserve">I-Beam Rafters, 50' span, 3:12 pitch (incl. height reinforcement)</t>
  </si>
  <si>
    <t xml:space="preserve">Metal Building BOM - 50x80 - IB 12ft</t>
  </si>
  <si>
    <t xml:space="preserve">I-Beam Columns, 12' tall, mounted to slab</t>
  </si>
  <si>
    <t xml:space="preserve">Metal Building BOM - 50x80 - IB 14ft</t>
  </si>
  <si>
    <t xml:space="preserve">I-Beam Columns, 14' tall, mounted to slab</t>
  </si>
  <si>
    <t xml:space="preserve">Metal Building BOM - 50x80 - IB 16ft</t>
  </si>
  <si>
    <t xml:space="preserve">I-Beam Columns, 16' tall, mounted to slab</t>
  </si>
  <si>
    <t xml:space="preserve">Metal Building BOM - 50x80 - IB 20ft</t>
  </si>
  <si>
    <t xml:space="preserve">I-Beam Columns, 20' tall, mounted to slab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</si>
</sst>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\%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9</v>
      </c>
      <c r="D4" s="3" t="n">
        <f aca="false">SUMIF('PB 10ft'!A:A,"&lt;&gt;TOTALS",'PB 10ft'!F:F)</f>
        <v>27832.3552812809</v>
      </c>
      <c r="E4" s="3" t="n">
        <f aca="false">SUMIF('PB 10ft'!A:A,"&lt;&gt;TOTALS",'PB 10ft'!H:H)</f>
        <v>50604.2823296016</v>
      </c>
      <c r="F4" s="4" t="n">
        <f aca="false">(E4-D4)/E4*100</f>
        <v>45</v>
      </c>
    </row>
    <row r="5" customFormat="false" ht="15" hidden="false" customHeight="false" outlineLevel="0" collapsed="false">
      <c r="A5" s="0" t="s">
        <v>10</v>
      </c>
      <c r="B5" s="0" t="s">
        <v>8</v>
      </c>
      <c r="C5" s="0" t="s">
        <v>11</v>
      </c>
      <c r="D5" s="3" t="n">
        <f aca="false">SUMIF('PB 12ft'!A:A,"&lt;&gt;TOTALS",'PB 12ft'!F:F)</f>
        <v>29891.2552812809</v>
      </c>
      <c r="E5" s="3" t="n">
        <f aca="false">SUMIF('PB 12ft'!A:A,"&lt;&gt;TOTALS",'PB 12ft'!H:H)</f>
        <v>54347.7368750561</v>
      </c>
      <c r="F5" s="4" t="n">
        <f aca="false">(E5-D5)/E5*100</f>
        <v>45</v>
      </c>
    </row>
    <row r="6" customFormat="false" ht="15" hidden="false" customHeight="false" outlineLevel="0" collapsed="false">
      <c r="A6" s="0" t="s">
        <v>12</v>
      </c>
      <c r="B6" s="0" t="s">
        <v>8</v>
      </c>
      <c r="C6" s="0" t="s">
        <v>13</v>
      </c>
      <c r="D6" s="3" t="n">
        <f aca="false">SUMIF('PB 14ft'!A:A,"&lt;&gt;TOTALS",'PB 14ft'!F:F)</f>
        <v>31296.3552812809</v>
      </c>
      <c r="E6" s="3" t="n">
        <f aca="false">SUMIF('PB 14ft'!A:A,"&lt;&gt;TOTALS",'PB 14ft'!H:H)</f>
        <v>56902.4641477834</v>
      </c>
      <c r="F6" s="4" t="n">
        <f aca="false">(E6-D6)/E6*100</f>
        <v>45</v>
      </c>
    </row>
    <row r="7" customFormat="false" ht="15" hidden="false" customHeight="false" outlineLevel="0" collapsed="false">
      <c r="A7" s="0" t="s">
        <v>14</v>
      </c>
      <c r="B7" s="0" t="s">
        <v>8</v>
      </c>
      <c r="C7" s="0" t="s">
        <v>15</v>
      </c>
      <c r="D7" s="3" t="n">
        <f aca="false">SUMIF('PB 16ft'!A:A,"&lt;&gt;TOTALS",'PB 16ft'!F:F)</f>
        <v>36131.3552812809</v>
      </c>
      <c r="E7" s="3" t="n">
        <f aca="false">SUMIF('PB 16ft'!A:A,"&lt;&gt;TOTALS",'PB 16ft'!H:H)</f>
        <v>65693.3732386925</v>
      </c>
      <c r="F7" s="4" t="n">
        <f aca="false">(E7-D7)/E7*100</f>
        <v>45</v>
      </c>
    </row>
    <row r="8" customFormat="false" ht="15" hidden="false" customHeight="false" outlineLevel="0" collapsed="false">
      <c r="A8" s="0" t="s">
        <v>16</v>
      </c>
      <c r="B8" s="0" t="s">
        <v>8</v>
      </c>
      <c r="C8" s="0" t="s">
        <v>17</v>
      </c>
      <c r="D8" s="3" t="n">
        <f aca="false">SUMIF('PB 20ft'!A:A,"&lt;&gt;TOTALS",'PB 20ft'!F:F)</f>
        <v>41213.5552812809</v>
      </c>
      <c r="E8" s="3" t="n">
        <f aca="false">SUMIF('PB 20ft'!A:A,"&lt;&gt;TOTALS",'PB 20ft'!H:H)</f>
        <v>74933.7368750561</v>
      </c>
      <c r="F8" s="4" t="n">
        <f aca="false">(E8-D8)/E8*100</f>
        <v>45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9</v>
      </c>
      <c r="D9" s="3" t="n">
        <f aca="false">SUMIF('IB 10ft'!A:A,"&lt;&gt;TOTALS",'IB 10ft'!F:F)</f>
        <v>24880.3552812809</v>
      </c>
      <c r="E9" s="3" t="n">
        <f aca="false">SUMIF('IB 10ft'!A:A,"&lt;&gt;TOTALS",'IB 10ft'!H:H)</f>
        <v>45237.0096023289</v>
      </c>
      <c r="F9" s="4" t="n">
        <f aca="false">(E9-D9)/E9*100</f>
        <v>45</v>
      </c>
    </row>
    <row r="10" customFormat="false" ht="15" hidden="false" customHeight="false" outlineLevel="0" collapsed="false">
      <c r="A10" s="0" t="s">
        <v>20</v>
      </c>
      <c r="B10" s="0" t="s">
        <v>19</v>
      </c>
      <c r="C10" s="0" t="s">
        <v>11</v>
      </c>
      <c r="D10" s="3" t="n">
        <f aca="false">SUMIF('IB 12ft'!A:A,"&lt;&gt;TOTALS",'IB 12ft'!F:F)</f>
        <v>27263.2552812809</v>
      </c>
      <c r="E10" s="3" t="n">
        <f aca="false">SUMIF('IB 12ft'!A:A,"&lt;&gt;TOTALS",'IB 12ft'!H:H)</f>
        <v>49569.5550568743</v>
      </c>
      <c r="F10" s="4" t="n">
        <f aca="false">(E10-D10)/E10*100</f>
        <v>45</v>
      </c>
    </row>
    <row r="11" customFormat="false" ht="15" hidden="false" customHeight="false" outlineLevel="0" collapsed="false">
      <c r="A11" s="0" t="s">
        <v>21</v>
      </c>
      <c r="B11" s="0" t="s">
        <v>19</v>
      </c>
      <c r="C11" s="0" t="s">
        <v>13</v>
      </c>
      <c r="D11" s="3" t="n">
        <f aca="false">SUMIF('IB 14ft'!A:A,"&lt;&gt;TOTALS",'IB 14ft'!F:F)</f>
        <v>29082.3552812809</v>
      </c>
      <c r="E11" s="3" t="n">
        <f aca="false">SUMIF('IB 14ft'!A:A,"&lt;&gt;TOTALS",'IB 14ft'!H:H)</f>
        <v>52877.0096023289</v>
      </c>
      <c r="F11" s="4" t="n">
        <f aca="false">(E11-D11)/E11*100</f>
        <v>45</v>
      </c>
    </row>
    <row r="12" customFormat="false" ht="15" hidden="false" customHeight="false" outlineLevel="0" collapsed="false">
      <c r="A12" s="0" t="s">
        <v>22</v>
      </c>
      <c r="B12" s="0" t="s">
        <v>19</v>
      </c>
      <c r="C12" s="0" t="s">
        <v>15</v>
      </c>
      <c r="D12" s="3" t="n">
        <f aca="false">SUMIF('IB 16ft'!A:A,"&lt;&gt;TOTALS",'IB 16ft'!F:F)</f>
        <v>33746.3552812809</v>
      </c>
      <c r="E12" s="3" t="n">
        <f aca="false">SUMIF('IB 16ft'!A:A,"&lt;&gt;TOTALS",'IB 16ft'!H:H)</f>
        <v>61357.0096023289</v>
      </c>
      <c r="F12" s="4" t="n">
        <f aca="false">(E12-D12)/E12*100</f>
        <v>45</v>
      </c>
    </row>
    <row r="13" customFormat="false" ht="15" hidden="false" customHeight="false" outlineLevel="0" collapsed="false">
      <c r="A13" s="0" t="s">
        <v>23</v>
      </c>
      <c r="B13" s="0" t="s">
        <v>19</v>
      </c>
      <c r="C13" s="0" t="s">
        <v>17</v>
      </c>
      <c r="D13" s="3" t="n">
        <f aca="false">SUMIF('IB 20ft'!A:A,"&lt;&gt;TOTALS",'IB 20ft'!F:F)</f>
        <v>39269.5552812809</v>
      </c>
      <c r="E13" s="3" t="n">
        <f aca="false">SUMIF('IB 20ft'!A:A,"&lt;&gt;TOTALS",'IB 20ft'!H:H)</f>
        <v>71399.1914205107</v>
      </c>
      <c r="F13" s="4" t="n">
        <f aca="false">(E13-D13)/E13*100</f>
        <v>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24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39</v>
      </c>
      <c r="C8" s="8" t="n">
        <v>18</v>
      </c>
      <c r="D8" s="7" t="s">
        <v>40</v>
      </c>
      <c r="E8" s="9" t="n">
        <v>45</v>
      </c>
      <c r="F8" s="9" t="n">
        <f aca="false">C8*E8</f>
        <v>810</v>
      </c>
      <c r="G8" s="9" t="n">
        <f aca="false">E8*1.81818181818182</f>
        <v>81.8181818181818</v>
      </c>
      <c r="H8" s="9" t="n">
        <f aca="false">C8*G8</f>
        <v>1472.72727272727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20</v>
      </c>
      <c r="D9" s="7" t="s">
        <v>40</v>
      </c>
      <c r="E9" s="9" t="n">
        <v>500</v>
      </c>
      <c r="F9" s="9" t="n">
        <f aca="false">C9*E9</f>
        <v>10000</v>
      </c>
      <c r="G9" s="9" t="n">
        <f aca="false">E9*1.81818181818182</f>
        <v>909.090909090909</v>
      </c>
      <c r="H9" s="9" t="n">
        <f aca="false">C9*G9</f>
        <v>18181.8181818182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260</v>
      </c>
      <c r="D10" s="7" t="s">
        <v>43</v>
      </c>
      <c r="E10" s="9" t="n">
        <v>2.5</v>
      </c>
      <c r="F10" s="9" t="n">
        <f aca="false">C10*E10</f>
        <v>650</v>
      </c>
      <c r="G10" s="9" t="n">
        <f aca="false">E10*1.81818181818182</f>
        <v>4.54545454545455</v>
      </c>
      <c r="H10" s="9" t="n">
        <f aca="false">C10*G10</f>
        <v>1181.81818181818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18</v>
      </c>
      <c r="D12" s="7" t="s">
        <v>40</v>
      </c>
      <c r="E12" s="9" t="n">
        <v>12</v>
      </c>
      <c r="F12" s="9" t="n">
        <f aca="false">C12*E12</f>
        <v>216</v>
      </c>
      <c r="G12" s="9" t="n">
        <f aca="false">E12*1.81818181818182</f>
        <v>21.8181818181818</v>
      </c>
      <c r="H12" s="9" t="n">
        <f aca="false">C12*G12</f>
        <v>392.727272727273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960</v>
      </c>
      <c r="D13" s="7" t="s">
        <v>43</v>
      </c>
      <c r="E13" s="9" t="n">
        <v>4.5</v>
      </c>
      <c r="F13" s="9" t="n">
        <f aca="false">C13*E13</f>
        <v>4320</v>
      </c>
      <c r="G13" s="9" t="n">
        <f aca="false">E13*1.81818181818182</f>
        <v>8.18181818181818</v>
      </c>
      <c r="H13" s="9" t="n">
        <f aca="false">C13*G13</f>
        <v>7854.54545454545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520</v>
      </c>
      <c r="D14" s="7" t="s">
        <v>43</v>
      </c>
      <c r="E14" s="9" t="n">
        <v>3.5</v>
      </c>
      <c r="F14" s="9" t="n">
        <f aca="false">C14*E14</f>
        <v>1820</v>
      </c>
      <c r="G14" s="9" t="n">
        <f aca="false">E14*1.81818181818182</f>
        <v>6.36363636363636</v>
      </c>
      <c r="H14" s="9" t="n">
        <f aca="false">C14*G14</f>
        <v>3309.09090909091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54</v>
      </c>
      <c r="D15" s="7" t="s">
        <v>52</v>
      </c>
      <c r="E15" s="9" t="n">
        <v>72</v>
      </c>
      <c r="F15" s="9" t="n">
        <f aca="false">C15*E15</f>
        <v>3888</v>
      </c>
      <c r="G15" s="9" t="n">
        <f aca="false">E15*1.81818181818182</f>
        <v>130.909090909091</v>
      </c>
      <c r="H15" s="9" t="n">
        <f aca="false">C15*G15</f>
        <v>7069.09090909091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80</v>
      </c>
      <c r="D16" s="7" t="s">
        <v>43</v>
      </c>
      <c r="E16" s="9" t="n">
        <v>1.5</v>
      </c>
      <c r="F16" s="9" t="n">
        <f aca="false">C16*E16</f>
        <v>120</v>
      </c>
      <c r="G16" s="9" t="n">
        <f aca="false">E16*1.81818181818182</f>
        <v>2.72727272727273</v>
      </c>
      <c r="H16" s="9" t="n">
        <f aca="false">C16*G16</f>
        <v>218.181818181818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54</v>
      </c>
      <c r="D17" s="7" t="s">
        <v>40</v>
      </c>
      <c r="E17" s="9" t="n">
        <v>2</v>
      </c>
      <c r="F17" s="9" t="n">
        <f aca="false">C17*E17</f>
        <v>108</v>
      </c>
      <c r="G17" s="9" t="n">
        <f aca="false">E17*1.81818181818182</f>
        <v>3.63636363636364</v>
      </c>
      <c r="H17" s="9" t="n">
        <f aca="false">C17*G17</f>
        <v>196.363636363636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1080</v>
      </c>
      <c r="D18" s="7" t="s">
        <v>40</v>
      </c>
      <c r="E18" s="9" t="n">
        <v>0.18</v>
      </c>
      <c r="F18" s="9" t="n">
        <f aca="false">C18*E18</f>
        <v>194.4</v>
      </c>
      <c r="G18" s="9" t="n">
        <f aca="false">E18*1.81818181818182</f>
        <v>0.327272727272727</v>
      </c>
      <c r="H18" s="9" t="n">
        <f aca="false">C18*G18</f>
        <v>353.454545454545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87</v>
      </c>
      <c r="D19" s="7" t="s">
        <v>52</v>
      </c>
      <c r="E19" s="9" t="n">
        <v>35</v>
      </c>
      <c r="F19" s="9" t="n">
        <f aca="false">C19*E19</f>
        <v>3045</v>
      </c>
      <c r="G19" s="9" t="n">
        <f aca="false">E19*1.81818181818182</f>
        <v>63.6363636363636</v>
      </c>
      <c r="H19" s="9" t="n">
        <f aca="false">C19*G19</f>
        <v>5536.36363636364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34</v>
      </c>
      <c r="D20" s="7" t="s">
        <v>52</v>
      </c>
      <c r="E20" s="9" t="n">
        <v>18</v>
      </c>
      <c r="F20" s="9" t="n">
        <f aca="false">C20*E20</f>
        <v>612</v>
      </c>
      <c r="G20" s="9" t="n">
        <f aca="false">E20*1.81818181818182</f>
        <v>32.7272727272727</v>
      </c>
      <c r="H20" s="9" t="n">
        <f aca="false">C20*G20</f>
        <v>1112.72727272727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1300</v>
      </c>
      <c r="D21" s="7" t="s">
        <v>40</v>
      </c>
      <c r="E21" s="9" t="n">
        <v>0.16</v>
      </c>
      <c r="F21" s="9" t="n">
        <f aca="false">C21*E21</f>
        <v>208</v>
      </c>
      <c r="G21" s="9" t="n">
        <f aca="false">E21*1.81818181818182</f>
        <v>0.290909090909091</v>
      </c>
      <c r="H21" s="9" t="n">
        <f aca="false">C21*G21</f>
        <v>378.181818181818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12</v>
      </c>
      <c r="D22" s="7" t="s">
        <v>40</v>
      </c>
      <c r="E22" s="9" t="n">
        <v>2.5</v>
      </c>
      <c r="F22" s="9" t="n">
        <f aca="false">C22*E22</f>
        <v>30</v>
      </c>
      <c r="G22" s="9" t="n">
        <f aca="false">E22*1.81818181818182</f>
        <v>4.54545454545455</v>
      </c>
      <c r="H22" s="9" t="n">
        <f aca="false">C22*G22</f>
        <v>54.5454545454545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160</v>
      </c>
      <c r="D23" s="7" t="s">
        <v>43</v>
      </c>
      <c r="E23" s="9" t="n">
        <v>1.25</v>
      </c>
      <c r="F23" s="9" t="n">
        <f aca="false">C23*E23</f>
        <v>200</v>
      </c>
      <c r="G23" s="9" t="n">
        <f aca="false">E23*1.81818181818182</f>
        <v>2.27272727272727</v>
      </c>
      <c r="H23" s="9" t="n">
        <f aca="false">C23*G23</f>
        <v>363.636363636364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103.077640640442</v>
      </c>
      <c r="D24" s="7" t="s">
        <v>43</v>
      </c>
      <c r="E24" s="9" t="n">
        <v>1.5</v>
      </c>
      <c r="F24" s="9" t="n">
        <f aca="false">C24*E24</f>
        <v>154.616460960662</v>
      </c>
      <c r="G24" s="9" t="n">
        <f aca="false">E24*1.81818181818182</f>
        <v>2.72727272727273</v>
      </c>
      <c r="H24" s="9" t="n">
        <f aca="false">C24*G24</f>
        <v>281.120838110295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260</v>
      </c>
      <c r="D26" s="7" t="s">
        <v>43</v>
      </c>
      <c r="E26" s="9" t="n">
        <v>0.75</v>
      </c>
      <c r="F26" s="9" t="n">
        <f aca="false">C26*E26</f>
        <v>195</v>
      </c>
      <c r="G26" s="9" t="n">
        <f aca="false">E26*1.81818181818182</f>
        <v>1.36363636363636</v>
      </c>
      <c r="H26" s="9" t="n">
        <f aca="false">C26*G26</f>
        <v>354.545454545455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160</v>
      </c>
      <c r="D27" s="7" t="s">
        <v>43</v>
      </c>
      <c r="E27" s="9" t="n">
        <v>0.85</v>
      </c>
      <c r="F27" s="9" t="n">
        <f aca="false">C27*E27</f>
        <v>136</v>
      </c>
      <c r="G27" s="9" t="n">
        <f aca="false">E27*1.81818181818182</f>
        <v>1.54545454545455</v>
      </c>
      <c r="H27" s="9" t="n">
        <f aca="false">C27*G27</f>
        <v>247.272727272727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51.5388203202208</v>
      </c>
      <c r="D28" s="7" t="s">
        <v>43</v>
      </c>
      <c r="E28" s="9" t="n">
        <v>1</v>
      </c>
      <c r="F28" s="9" t="n">
        <f aca="false">C28*E28</f>
        <v>51.5388203202208</v>
      </c>
      <c r="G28" s="9" t="n">
        <f aca="false">E28*1.81818181818182</f>
        <v>1.81818181818182</v>
      </c>
      <c r="H28" s="9" t="n">
        <f aca="false">C28*G28</f>
        <v>93.706946036765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72</v>
      </c>
      <c r="D29" s="7" t="s">
        <v>40</v>
      </c>
      <c r="E29" s="9" t="n">
        <v>1.25</v>
      </c>
      <c r="F29" s="9" t="n">
        <f aca="false">C29*E29</f>
        <v>90</v>
      </c>
      <c r="G29" s="9" t="n">
        <f aca="false">E29*1.81818181818182</f>
        <v>2.27272727272727</v>
      </c>
      <c r="H29" s="9" t="n">
        <f aca="false">C29*G29</f>
        <v>163.636363636364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72</v>
      </c>
      <c r="D30" s="7" t="s">
        <v>40</v>
      </c>
      <c r="E30" s="9" t="n">
        <v>0.85</v>
      </c>
      <c r="F30" s="9" t="n">
        <f aca="false">C30*E30</f>
        <v>61.2</v>
      </c>
      <c r="G30" s="9" t="n">
        <f aca="false">E30*1.81818181818182</f>
        <v>1.54545454545455</v>
      </c>
      <c r="H30" s="9" t="n">
        <f aca="false">C30*G30</f>
        <v>111.272727272727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480</v>
      </c>
      <c r="D31" s="7" t="s">
        <v>40</v>
      </c>
      <c r="E31" s="9" t="n">
        <v>0.15</v>
      </c>
      <c r="F31" s="9" t="n">
        <f aca="false">C31*E31</f>
        <v>72</v>
      </c>
      <c r="G31" s="9" t="n">
        <f aca="false">E31*1.81818181818182</f>
        <v>0.272727272727273</v>
      </c>
      <c r="H31" s="9" t="n">
        <f aca="false">C31*G31</f>
        <v>130.909090909091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624</v>
      </c>
      <c r="D32" s="7" t="s">
        <v>40</v>
      </c>
      <c r="E32" s="9" t="n">
        <v>0.15</v>
      </c>
      <c r="F32" s="9" t="n">
        <f aca="false">C32*E32</f>
        <v>93.6</v>
      </c>
      <c r="G32" s="9" t="n">
        <f aca="false">E32*1.81818181818182</f>
        <v>0.272727272727273</v>
      </c>
      <c r="H32" s="9" t="n">
        <f aca="false">C32*G32</f>
        <v>170.181818181818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26</v>
      </c>
      <c r="D34" s="7" t="s">
        <v>76</v>
      </c>
      <c r="E34" s="9" t="n">
        <v>12</v>
      </c>
      <c r="F34" s="9" t="n">
        <f aca="false">C34*E34</f>
        <v>312</v>
      </c>
      <c r="G34" s="9" t="n">
        <f aca="false">E34*1.81818181818182</f>
        <v>21.8181818181818</v>
      </c>
      <c r="H34" s="9" t="n">
        <f aca="false">C34*G34</f>
        <v>567.272727272727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27832.3552812809</v>
      </c>
      <c r="H36" s="13" t="n">
        <f aca="false">SUM(H8:H35)</f>
        <v>50604.2823296016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82</v>
      </c>
      <c r="C8" s="8" t="n">
        <v>18</v>
      </c>
      <c r="D8" s="7" t="s">
        <v>40</v>
      </c>
      <c r="E8" s="9" t="n">
        <v>54</v>
      </c>
      <c r="F8" s="9" t="n">
        <f aca="false">C8*E8</f>
        <v>972</v>
      </c>
      <c r="G8" s="9" t="n">
        <f aca="false">E8*1.81818181818182</f>
        <v>98.1818181818182</v>
      </c>
      <c r="H8" s="9" t="n">
        <f aca="false">C8*G8</f>
        <v>1767.27272727273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20</v>
      </c>
      <c r="D9" s="7" t="s">
        <v>40</v>
      </c>
      <c r="E9" s="9" t="n">
        <v>500</v>
      </c>
      <c r="F9" s="9" t="n">
        <f aca="false">C9*E9</f>
        <v>10000</v>
      </c>
      <c r="G9" s="9" t="n">
        <f aca="false">E9*1.81818181818182</f>
        <v>909.090909090909</v>
      </c>
      <c r="H9" s="9" t="n">
        <f aca="false">C9*G9</f>
        <v>18181.8181818182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260</v>
      </c>
      <c r="D10" s="7" t="s">
        <v>43</v>
      </c>
      <c r="E10" s="9" t="n">
        <v>2.75</v>
      </c>
      <c r="F10" s="9" t="n">
        <f aca="false">C10*E10</f>
        <v>715</v>
      </c>
      <c r="G10" s="9" t="n">
        <f aca="false">E10*1.81818181818182</f>
        <v>5</v>
      </c>
      <c r="H10" s="9" t="n">
        <f aca="false">C10*G10</f>
        <v>1300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18</v>
      </c>
      <c r="D12" s="7" t="s">
        <v>40</v>
      </c>
      <c r="E12" s="9" t="n">
        <v>14</v>
      </c>
      <c r="F12" s="9" t="n">
        <f aca="false">C12*E12</f>
        <v>252</v>
      </c>
      <c r="G12" s="9" t="n">
        <f aca="false">E12*1.81818181818182</f>
        <v>25.4545454545455</v>
      </c>
      <c r="H12" s="9" t="n">
        <f aca="false">C12*G12</f>
        <v>458.181818181818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960</v>
      </c>
      <c r="D13" s="7" t="s">
        <v>43</v>
      </c>
      <c r="E13" s="9" t="n">
        <v>4.5</v>
      </c>
      <c r="F13" s="9" t="n">
        <f aca="false">C13*E13</f>
        <v>4320</v>
      </c>
      <c r="G13" s="9" t="n">
        <f aca="false">E13*1.81818181818182</f>
        <v>8.18181818181818</v>
      </c>
      <c r="H13" s="9" t="n">
        <f aca="false">C13*G13</f>
        <v>7854.54545454545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780</v>
      </c>
      <c r="D14" s="7" t="s">
        <v>43</v>
      </c>
      <c r="E14" s="9" t="n">
        <v>3.5</v>
      </c>
      <c r="F14" s="9" t="n">
        <f aca="false">C14*E14</f>
        <v>2730</v>
      </c>
      <c r="G14" s="9" t="n">
        <f aca="false">E14*1.81818181818182</f>
        <v>6.36363636363636</v>
      </c>
      <c r="H14" s="9" t="n">
        <f aca="false">C14*G14</f>
        <v>4963.63636363636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54</v>
      </c>
      <c r="D15" s="7" t="s">
        <v>52</v>
      </c>
      <c r="E15" s="9" t="n">
        <v>72</v>
      </c>
      <c r="F15" s="9" t="n">
        <f aca="false">C15*E15</f>
        <v>3888</v>
      </c>
      <c r="G15" s="9" t="n">
        <f aca="false">E15*1.81818181818182</f>
        <v>130.909090909091</v>
      </c>
      <c r="H15" s="9" t="n">
        <f aca="false">C15*G15</f>
        <v>7069.09090909091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80</v>
      </c>
      <c r="D16" s="7" t="s">
        <v>43</v>
      </c>
      <c r="E16" s="9" t="n">
        <v>1.5</v>
      </c>
      <c r="F16" s="9" t="n">
        <f aca="false">C16*E16</f>
        <v>120</v>
      </c>
      <c r="G16" s="9" t="n">
        <f aca="false">E16*1.81818181818182</f>
        <v>2.72727272727273</v>
      </c>
      <c r="H16" s="9" t="n">
        <f aca="false">C16*G16</f>
        <v>218.181818181818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54</v>
      </c>
      <c r="D17" s="7" t="s">
        <v>40</v>
      </c>
      <c r="E17" s="9" t="n">
        <v>2</v>
      </c>
      <c r="F17" s="9" t="n">
        <f aca="false">C17*E17</f>
        <v>108</v>
      </c>
      <c r="G17" s="9" t="n">
        <f aca="false">E17*1.81818181818182</f>
        <v>3.63636363636364</v>
      </c>
      <c r="H17" s="9" t="n">
        <f aca="false">C17*G17</f>
        <v>196.363636363636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1080</v>
      </c>
      <c r="D18" s="7" t="s">
        <v>40</v>
      </c>
      <c r="E18" s="9" t="n">
        <v>0.18</v>
      </c>
      <c r="F18" s="9" t="n">
        <f aca="false">C18*E18</f>
        <v>194.4</v>
      </c>
      <c r="G18" s="9" t="n">
        <f aca="false">E18*1.81818181818182</f>
        <v>0.327272727272727</v>
      </c>
      <c r="H18" s="9" t="n">
        <f aca="false">C18*G18</f>
        <v>353.454545454545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87</v>
      </c>
      <c r="D19" s="7" t="s">
        <v>52</v>
      </c>
      <c r="E19" s="9" t="n">
        <v>42</v>
      </c>
      <c r="F19" s="9" t="n">
        <f aca="false">C19*E19</f>
        <v>3654</v>
      </c>
      <c r="G19" s="9" t="n">
        <f aca="false">E19*1.81818181818182</f>
        <v>76.3636363636364</v>
      </c>
      <c r="H19" s="9" t="n">
        <f aca="false">C19*G19</f>
        <v>6643.63636363636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34</v>
      </c>
      <c r="D20" s="7" t="s">
        <v>52</v>
      </c>
      <c r="E20" s="9" t="n">
        <v>18</v>
      </c>
      <c r="F20" s="9" t="n">
        <f aca="false">C20*E20</f>
        <v>612</v>
      </c>
      <c r="G20" s="9" t="n">
        <f aca="false">E20*1.81818181818182</f>
        <v>32.7272727272727</v>
      </c>
      <c r="H20" s="9" t="n">
        <f aca="false">C20*G20</f>
        <v>1112.72727272727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1560</v>
      </c>
      <c r="D21" s="7" t="s">
        <v>40</v>
      </c>
      <c r="E21" s="9" t="n">
        <v>0.16</v>
      </c>
      <c r="F21" s="9" t="n">
        <f aca="false">C21*E21</f>
        <v>249.6</v>
      </c>
      <c r="G21" s="9" t="n">
        <f aca="false">E21*1.81818181818182</f>
        <v>0.290909090909091</v>
      </c>
      <c r="H21" s="9" t="n">
        <f aca="false">C21*G21</f>
        <v>453.818181818182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12</v>
      </c>
      <c r="D22" s="7" t="s">
        <v>40</v>
      </c>
      <c r="E22" s="9" t="n">
        <v>2.5</v>
      </c>
      <c r="F22" s="9" t="n">
        <f aca="false">C22*E22</f>
        <v>30</v>
      </c>
      <c r="G22" s="9" t="n">
        <f aca="false">E22*1.81818181818182</f>
        <v>4.54545454545455</v>
      </c>
      <c r="H22" s="9" t="n">
        <f aca="false">C22*G22</f>
        <v>54.5454545454545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160</v>
      </c>
      <c r="D23" s="7" t="s">
        <v>43</v>
      </c>
      <c r="E23" s="9" t="n">
        <v>1.25</v>
      </c>
      <c r="F23" s="9" t="n">
        <f aca="false">C23*E23</f>
        <v>200</v>
      </c>
      <c r="G23" s="9" t="n">
        <f aca="false">E23*1.81818181818182</f>
        <v>2.27272727272727</v>
      </c>
      <c r="H23" s="9" t="n">
        <f aca="false">C23*G23</f>
        <v>363.636363636364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103.077640640442</v>
      </c>
      <c r="D24" s="7" t="s">
        <v>43</v>
      </c>
      <c r="E24" s="9" t="n">
        <v>1.5</v>
      </c>
      <c r="F24" s="9" t="n">
        <f aca="false">C24*E24</f>
        <v>154.616460960662</v>
      </c>
      <c r="G24" s="9" t="n">
        <f aca="false">E24*1.81818181818182</f>
        <v>2.72727272727273</v>
      </c>
      <c r="H24" s="9" t="n">
        <f aca="false">C24*G24</f>
        <v>281.120838110295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260</v>
      </c>
      <c r="D26" s="7" t="s">
        <v>43</v>
      </c>
      <c r="E26" s="9" t="n">
        <v>0.75</v>
      </c>
      <c r="F26" s="9" t="n">
        <f aca="false">C26*E26</f>
        <v>195</v>
      </c>
      <c r="G26" s="9" t="n">
        <f aca="false">E26*1.81818181818182</f>
        <v>1.36363636363636</v>
      </c>
      <c r="H26" s="9" t="n">
        <f aca="false">C26*G26</f>
        <v>354.545454545455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160</v>
      </c>
      <c r="D27" s="7" t="s">
        <v>43</v>
      </c>
      <c r="E27" s="9" t="n">
        <v>0.85</v>
      </c>
      <c r="F27" s="9" t="n">
        <f aca="false">C27*E27</f>
        <v>136</v>
      </c>
      <c r="G27" s="9" t="n">
        <f aca="false">E27*1.81818181818182</f>
        <v>1.54545454545455</v>
      </c>
      <c r="H27" s="9" t="n">
        <f aca="false">C27*G27</f>
        <v>247.272727272727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51.5388203202208</v>
      </c>
      <c r="D28" s="7" t="s">
        <v>43</v>
      </c>
      <c r="E28" s="9" t="n">
        <v>1</v>
      </c>
      <c r="F28" s="9" t="n">
        <f aca="false">C28*E28</f>
        <v>51.5388203202208</v>
      </c>
      <c r="G28" s="9" t="n">
        <f aca="false">E28*1.81818181818182</f>
        <v>1.81818181818182</v>
      </c>
      <c r="H28" s="9" t="n">
        <f aca="false">C28*G28</f>
        <v>93.706946036765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90</v>
      </c>
      <c r="D29" s="7" t="s">
        <v>40</v>
      </c>
      <c r="E29" s="9" t="n">
        <v>1.25</v>
      </c>
      <c r="F29" s="9" t="n">
        <f aca="false">C29*E29</f>
        <v>112.5</v>
      </c>
      <c r="G29" s="9" t="n">
        <f aca="false">E29*1.81818181818182</f>
        <v>2.27272727272727</v>
      </c>
      <c r="H29" s="9" t="n">
        <f aca="false">C29*G29</f>
        <v>204.545454545455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72</v>
      </c>
      <c r="D30" s="7" t="s">
        <v>40</v>
      </c>
      <c r="E30" s="9" t="n">
        <v>0.85</v>
      </c>
      <c r="F30" s="9" t="n">
        <f aca="false">C30*E30</f>
        <v>61.2</v>
      </c>
      <c r="G30" s="9" t="n">
        <f aca="false">E30*1.81818181818182</f>
        <v>1.54545454545455</v>
      </c>
      <c r="H30" s="9" t="n">
        <f aca="false">C30*G30</f>
        <v>111.272727272727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480</v>
      </c>
      <c r="D31" s="7" t="s">
        <v>40</v>
      </c>
      <c r="E31" s="9" t="n">
        <v>0.15</v>
      </c>
      <c r="F31" s="9" t="n">
        <f aca="false">C31*E31</f>
        <v>72</v>
      </c>
      <c r="G31" s="9" t="n">
        <f aca="false">E31*1.81818181818182</f>
        <v>0.272727272727273</v>
      </c>
      <c r="H31" s="9" t="n">
        <f aca="false">C31*G31</f>
        <v>130.909090909091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936</v>
      </c>
      <c r="D32" s="7" t="s">
        <v>40</v>
      </c>
      <c r="E32" s="9" t="n">
        <v>0.15</v>
      </c>
      <c r="F32" s="9" t="n">
        <f aca="false">C32*E32</f>
        <v>140.4</v>
      </c>
      <c r="G32" s="9" t="n">
        <f aca="false">E32*1.81818181818182</f>
        <v>0.272727272727273</v>
      </c>
      <c r="H32" s="9" t="n">
        <f aca="false">C32*G32</f>
        <v>255.272727272727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32</v>
      </c>
      <c r="D34" s="7" t="s">
        <v>76</v>
      </c>
      <c r="E34" s="9" t="n">
        <v>12</v>
      </c>
      <c r="F34" s="9" t="n">
        <f aca="false">C34*E34</f>
        <v>384</v>
      </c>
      <c r="G34" s="9" t="n">
        <f aca="false">E34*1.81818181818182</f>
        <v>21.8181818181818</v>
      </c>
      <c r="H34" s="9" t="n">
        <f aca="false">C34*G34</f>
        <v>698.181818181818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29891.2552812809</v>
      </c>
      <c r="H36" s="13" t="n">
        <f aca="false">SUM(H8:H35)</f>
        <v>54347.7368750561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86</v>
      </c>
      <c r="C8" s="8" t="n">
        <v>18</v>
      </c>
      <c r="D8" s="7" t="s">
        <v>40</v>
      </c>
      <c r="E8" s="9" t="n">
        <v>68</v>
      </c>
      <c r="F8" s="9" t="n">
        <f aca="false">C8*E8</f>
        <v>1224</v>
      </c>
      <c r="G8" s="9" t="n">
        <f aca="false">E8*1.81818181818182</f>
        <v>123.636363636364</v>
      </c>
      <c r="H8" s="9" t="n">
        <f aca="false">C8*G8</f>
        <v>2225.45454545455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20</v>
      </c>
      <c r="D9" s="7" t="s">
        <v>40</v>
      </c>
      <c r="E9" s="9" t="n">
        <v>500</v>
      </c>
      <c r="F9" s="9" t="n">
        <f aca="false">C9*E9</f>
        <v>10000</v>
      </c>
      <c r="G9" s="9" t="n">
        <f aca="false">E9*1.81818181818182</f>
        <v>909.090909090909</v>
      </c>
      <c r="H9" s="9" t="n">
        <f aca="false">C9*G9</f>
        <v>18181.8181818182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260</v>
      </c>
      <c r="D10" s="7" t="s">
        <v>43</v>
      </c>
      <c r="E10" s="9" t="n">
        <v>3</v>
      </c>
      <c r="F10" s="9" t="n">
        <f aca="false">C10*E10</f>
        <v>780</v>
      </c>
      <c r="G10" s="9" t="n">
        <f aca="false">E10*1.81818181818182</f>
        <v>5.45454545454545</v>
      </c>
      <c r="H10" s="9" t="n">
        <f aca="false">C10*G10</f>
        <v>1418.18181818182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18</v>
      </c>
      <c r="D12" s="7" t="s">
        <v>40</v>
      </c>
      <c r="E12" s="9" t="n">
        <v>16</v>
      </c>
      <c r="F12" s="9" t="n">
        <f aca="false">C12*E12</f>
        <v>288</v>
      </c>
      <c r="G12" s="9" t="n">
        <f aca="false">E12*1.81818181818182</f>
        <v>29.0909090909091</v>
      </c>
      <c r="H12" s="9" t="n">
        <f aca="false">C12*G12</f>
        <v>523.636363636364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960</v>
      </c>
      <c r="D13" s="7" t="s">
        <v>43</v>
      </c>
      <c r="E13" s="9" t="n">
        <v>4.5</v>
      </c>
      <c r="F13" s="9" t="n">
        <f aca="false">C13*E13</f>
        <v>4320</v>
      </c>
      <c r="G13" s="9" t="n">
        <f aca="false">E13*1.81818181818182</f>
        <v>8.18181818181818</v>
      </c>
      <c r="H13" s="9" t="n">
        <f aca="false">C13*G13</f>
        <v>7854.54545454545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780</v>
      </c>
      <c r="D14" s="7" t="s">
        <v>43</v>
      </c>
      <c r="E14" s="9" t="n">
        <v>3.5</v>
      </c>
      <c r="F14" s="9" t="n">
        <f aca="false">C14*E14</f>
        <v>2730</v>
      </c>
      <c r="G14" s="9" t="n">
        <f aca="false">E14*1.81818181818182</f>
        <v>6.36363636363636</v>
      </c>
      <c r="H14" s="9" t="n">
        <f aca="false">C14*G14</f>
        <v>4963.63636363636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8</v>
      </c>
      <c r="D15" s="7" t="s">
        <v>45</v>
      </c>
      <c r="E15" s="9" t="n">
        <v>8.5</v>
      </c>
      <c r="F15" s="9" t="n">
        <f aca="false">C15*E15</f>
        <v>68</v>
      </c>
      <c r="G15" s="9" t="n">
        <f aca="false">E15*1.81818181818182</f>
        <v>15.4545454545455</v>
      </c>
      <c r="H15" s="9" t="n">
        <f aca="false">C15*G15</f>
        <v>123.636363636364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54</v>
      </c>
      <c r="D16" s="7" t="s">
        <v>52</v>
      </c>
      <c r="E16" s="9" t="n">
        <v>72</v>
      </c>
      <c r="F16" s="9" t="n">
        <f aca="false">C16*E16</f>
        <v>3888</v>
      </c>
      <c r="G16" s="9" t="n">
        <f aca="false">E16*1.81818181818182</f>
        <v>130.909090909091</v>
      </c>
      <c r="H16" s="9" t="n">
        <f aca="false">C16*G16</f>
        <v>7069.09090909091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80</v>
      </c>
      <c r="D17" s="7" t="s">
        <v>43</v>
      </c>
      <c r="E17" s="9" t="n">
        <v>1.5</v>
      </c>
      <c r="F17" s="9" t="n">
        <f aca="false">C17*E17</f>
        <v>120</v>
      </c>
      <c r="G17" s="9" t="n">
        <f aca="false">E17*1.81818181818182</f>
        <v>2.72727272727273</v>
      </c>
      <c r="H17" s="9" t="n">
        <f aca="false">C17*G17</f>
        <v>218.181818181818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54</v>
      </c>
      <c r="D18" s="7" t="s">
        <v>40</v>
      </c>
      <c r="E18" s="9" t="n">
        <v>2</v>
      </c>
      <c r="F18" s="9" t="n">
        <f aca="false">C18*E18</f>
        <v>108</v>
      </c>
      <c r="G18" s="9" t="n">
        <f aca="false">E18*1.81818181818182</f>
        <v>3.63636363636364</v>
      </c>
      <c r="H18" s="9" t="n">
        <f aca="false">C18*G18</f>
        <v>196.363636363636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1080</v>
      </c>
      <c r="D19" s="7" t="s">
        <v>40</v>
      </c>
      <c r="E19" s="9" t="n">
        <v>0.18</v>
      </c>
      <c r="F19" s="9" t="n">
        <f aca="false">C19*E19</f>
        <v>194.4</v>
      </c>
      <c r="G19" s="9" t="n">
        <f aca="false">E19*1.81818181818182</f>
        <v>0.327272727272727</v>
      </c>
      <c r="H19" s="9" t="n">
        <f aca="false">C19*G19</f>
        <v>353.454545454545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87</v>
      </c>
      <c r="D20" s="7" t="s">
        <v>52</v>
      </c>
      <c r="E20" s="9" t="n">
        <v>49</v>
      </c>
      <c r="F20" s="9" t="n">
        <f aca="false">C20*E20</f>
        <v>4263</v>
      </c>
      <c r="G20" s="9" t="n">
        <f aca="false">E20*1.81818181818182</f>
        <v>89.0909090909091</v>
      </c>
      <c r="H20" s="9" t="n">
        <f aca="false">C20*G20</f>
        <v>7750.90909090909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34</v>
      </c>
      <c r="D21" s="7" t="s">
        <v>52</v>
      </c>
      <c r="E21" s="9" t="n">
        <v>18</v>
      </c>
      <c r="F21" s="9" t="n">
        <f aca="false">C21*E21</f>
        <v>612</v>
      </c>
      <c r="G21" s="9" t="n">
        <f aca="false">E21*1.81818181818182</f>
        <v>32.7272727272727</v>
      </c>
      <c r="H21" s="9" t="n">
        <f aca="false">C21*G21</f>
        <v>1112.72727272727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1820</v>
      </c>
      <c r="D22" s="7" t="s">
        <v>40</v>
      </c>
      <c r="E22" s="9" t="n">
        <v>0.16</v>
      </c>
      <c r="F22" s="9" t="n">
        <f aca="false">C22*E22</f>
        <v>291.2</v>
      </c>
      <c r="G22" s="9" t="n">
        <f aca="false">E22*1.81818181818182</f>
        <v>0.290909090909091</v>
      </c>
      <c r="H22" s="9" t="n">
        <f aca="false">C22*G22</f>
        <v>529.454545454545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12</v>
      </c>
      <c r="D23" s="7" t="s">
        <v>40</v>
      </c>
      <c r="E23" s="9" t="n">
        <v>2.5</v>
      </c>
      <c r="F23" s="9" t="n">
        <f aca="false">C23*E23</f>
        <v>30</v>
      </c>
      <c r="G23" s="9" t="n">
        <f aca="false">E23*1.81818181818182</f>
        <v>4.54545454545455</v>
      </c>
      <c r="H23" s="9" t="n">
        <f aca="false">C23*G23</f>
        <v>54.5454545454545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160</v>
      </c>
      <c r="D24" s="7" t="s">
        <v>43</v>
      </c>
      <c r="E24" s="9" t="n">
        <v>1.25</v>
      </c>
      <c r="F24" s="9" t="n">
        <f aca="false">C24*E24</f>
        <v>200</v>
      </c>
      <c r="G24" s="9" t="n">
        <f aca="false">E24*1.81818181818182</f>
        <v>2.27272727272727</v>
      </c>
      <c r="H24" s="9" t="n">
        <f aca="false">C24*G24</f>
        <v>363.636363636364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103.077640640442</v>
      </c>
      <c r="D25" s="7" t="s">
        <v>43</v>
      </c>
      <c r="E25" s="9" t="n">
        <v>1.5</v>
      </c>
      <c r="F25" s="9" t="n">
        <f aca="false">C25*E25</f>
        <v>154.616460960662</v>
      </c>
      <c r="G25" s="9" t="n">
        <f aca="false">E25*1.81818181818182</f>
        <v>2.72727272727273</v>
      </c>
      <c r="H25" s="9" t="n">
        <f aca="false">C25*G25</f>
        <v>281.120838110295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260</v>
      </c>
      <c r="D27" s="7" t="s">
        <v>43</v>
      </c>
      <c r="E27" s="9" t="n">
        <v>0.75</v>
      </c>
      <c r="F27" s="9" t="n">
        <f aca="false">C27*E27</f>
        <v>195</v>
      </c>
      <c r="G27" s="9" t="n">
        <f aca="false">E27*1.81818181818182</f>
        <v>1.36363636363636</v>
      </c>
      <c r="H27" s="9" t="n">
        <f aca="false">C27*G27</f>
        <v>354.545454545455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160</v>
      </c>
      <c r="D28" s="7" t="s">
        <v>43</v>
      </c>
      <c r="E28" s="9" t="n">
        <v>0.85</v>
      </c>
      <c r="F28" s="9" t="n">
        <f aca="false">C28*E28</f>
        <v>136</v>
      </c>
      <c r="G28" s="9" t="n">
        <f aca="false">E28*1.81818181818182</f>
        <v>1.54545454545455</v>
      </c>
      <c r="H28" s="9" t="n">
        <f aca="false">C28*G28</f>
        <v>247.272727272727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51.5388203202208</v>
      </c>
      <c r="D29" s="7" t="s">
        <v>43</v>
      </c>
      <c r="E29" s="9" t="n">
        <v>1</v>
      </c>
      <c r="F29" s="9" t="n">
        <f aca="false">C29*E29</f>
        <v>51.5388203202208</v>
      </c>
      <c r="G29" s="9" t="n">
        <f aca="false">E29*1.81818181818182</f>
        <v>1.81818181818182</v>
      </c>
      <c r="H29" s="9" t="n">
        <f aca="false">C29*G29</f>
        <v>93.706946036765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108</v>
      </c>
      <c r="D30" s="7" t="s">
        <v>40</v>
      </c>
      <c r="E30" s="9" t="n">
        <v>1.25</v>
      </c>
      <c r="F30" s="9" t="n">
        <f aca="false">C30*E30</f>
        <v>135</v>
      </c>
      <c r="G30" s="9" t="n">
        <f aca="false">E30*1.81818181818182</f>
        <v>2.27272727272727</v>
      </c>
      <c r="H30" s="9" t="n">
        <f aca="false">C30*G30</f>
        <v>245.454545454545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72</v>
      </c>
      <c r="D31" s="7" t="s">
        <v>40</v>
      </c>
      <c r="E31" s="9" t="n">
        <v>0.85</v>
      </c>
      <c r="F31" s="9" t="n">
        <f aca="false">C31*E31</f>
        <v>61.2</v>
      </c>
      <c r="G31" s="9" t="n">
        <f aca="false">E31*1.81818181818182</f>
        <v>1.54545454545455</v>
      </c>
      <c r="H31" s="9" t="n">
        <f aca="false">C31*G31</f>
        <v>111.272727272727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480</v>
      </c>
      <c r="D32" s="7" t="s">
        <v>40</v>
      </c>
      <c r="E32" s="9" t="n">
        <v>0.15</v>
      </c>
      <c r="F32" s="9" t="n">
        <f aca="false">C32*E32</f>
        <v>72</v>
      </c>
      <c r="G32" s="9" t="n">
        <f aca="false">E32*1.81818181818182</f>
        <v>0.272727272727273</v>
      </c>
      <c r="H32" s="9" t="n">
        <f aca="false">C32*G32</f>
        <v>130.909090909091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936</v>
      </c>
      <c r="D33" s="7" t="s">
        <v>40</v>
      </c>
      <c r="E33" s="9" t="n">
        <v>0.15</v>
      </c>
      <c r="F33" s="9" t="n">
        <f aca="false">C33*E33</f>
        <v>140.4</v>
      </c>
      <c r="G33" s="9" t="n">
        <f aca="false">E33*1.81818181818182</f>
        <v>0.272727272727273</v>
      </c>
      <c r="H33" s="9" t="n">
        <f aca="false">C33*G33</f>
        <v>255.272727272727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16</v>
      </c>
      <c r="D34" s="7" t="s">
        <v>40</v>
      </c>
      <c r="E34" s="9" t="n">
        <v>12</v>
      </c>
      <c r="F34" s="9" t="n">
        <f aca="false">C34*E34</f>
        <v>192</v>
      </c>
      <c r="G34" s="9" t="n">
        <f aca="false">E34*1.81818181818182</f>
        <v>21.8181818181818</v>
      </c>
      <c r="H34" s="9" t="n">
        <f aca="false">C34*G34</f>
        <v>349.090909090909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37</v>
      </c>
      <c r="D36" s="7" t="s">
        <v>76</v>
      </c>
      <c r="E36" s="9" t="n">
        <v>12</v>
      </c>
      <c r="F36" s="9" t="n">
        <f aca="false">C36*E36</f>
        <v>444</v>
      </c>
      <c r="G36" s="9" t="n">
        <f aca="false">E36*1.81818181818182</f>
        <v>21.8181818181818</v>
      </c>
      <c r="H36" s="9" t="n">
        <f aca="false">C36*G36</f>
        <v>807.272727272727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31296.3552812809</v>
      </c>
      <c r="H38" s="13" t="n">
        <f aca="false">SUM(H8:H37)</f>
        <v>56902.4641477834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92</v>
      </c>
      <c r="C8" s="8" t="n">
        <v>18</v>
      </c>
      <c r="D8" s="7" t="s">
        <v>40</v>
      </c>
      <c r="E8" s="9" t="n">
        <v>82</v>
      </c>
      <c r="F8" s="9" t="n">
        <f aca="false">C8*E8</f>
        <v>1476</v>
      </c>
      <c r="G8" s="9" t="n">
        <f aca="false">E8*1.81818181818182</f>
        <v>149.090909090909</v>
      </c>
      <c r="H8" s="9" t="n">
        <f aca="false">C8*G8</f>
        <v>2683.63636363636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20</v>
      </c>
      <c r="D9" s="7" t="s">
        <v>40</v>
      </c>
      <c r="E9" s="9" t="n">
        <v>575</v>
      </c>
      <c r="F9" s="9" t="n">
        <f aca="false">C9*E9</f>
        <v>11500</v>
      </c>
      <c r="G9" s="9" t="n">
        <f aca="false">E9*1.81818181818182</f>
        <v>1045.45454545455</v>
      </c>
      <c r="H9" s="9" t="n">
        <f aca="false">C9*G9</f>
        <v>20909.0909090909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260</v>
      </c>
      <c r="D10" s="7" t="s">
        <v>43</v>
      </c>
      <c r="E10" s="9" t="n">
        <v>3.5</v>
      </c>
      <c r="F10" s="9" t="n">
        <f aca="false">C10*E10</f>
        <v>910</v>
      </c>
      <c r="G10" s="9" t="n">
        <f aca="false">E10*1.81818181818182</f>
        <v>6.36363636363636</v>
      </c>
      <c r="H10" s="9" t="n">
        <f aca="false">C10*G10</f>
        <v>1654.54545454545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18</v>
      </c>
      <c r="D13" s="7" t="s">
        <v>40</v>
      </c>
      <c r="E13" s="9" t="n">
        <v>20</v>
      </c>
      <c r="F13" s="9" t="n">
        <f aca="false">C13*E13</f>
        <v>360</v>
      </c>
      <c r="G13" s="9" t="n">
        <f aca="false">E13*1.81818181818182</f>
        <v>36.3636363636364</v>
      </c>
      <c r="H13" s="9" t="n">
        <f aca="false">C13*G13</f>
        <v>654.545454545455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960</v>
      </c>
      <c r="D14" s="7" t="s">
        <v>43</v>
      </c>
      <c r="E14" s="9" t="n">
        <v>4.5</v>
      </c>
      <c r="F14" s="9" t="n">
        <f aca="false">C14*E14</f>
        <v>4320</v>
      </c>
      <c r="G14" s="9" t="n">
        <f aca="false">E14*1.81818181818182</f>
        <v>8.18181818181818</v>
      </c>
      <c r="H14" s="9" t="n">
        <f aca="false">C14*G14</f>
        <v>7854.54545454545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1040</v>
      </c>
      <c r="D15" s="7" t="s">
        <v>43</v>
      </c>
      <c r="E15" s="9" t="n">
        <v>4</v>
      </c>
      <c r="F15" s="9" t="n">
        <f aca="false">C15*E15</f>
        <v>4160</v>
      </c>
      <c r="G15" s="9" t="n">
        <f aca="false">E15*1.81818181818182</f>
        <v>7.27272727272727</v>
      </c>
      <c r="H15" s="9" t="n">
        <f aca="false">C15*G15</f>
        <v>7563.63636363636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16</v>
      </c>
      <c r="D16" s="7" t="s">
        <v>45</v>
      </c>
      <c r="E16" s="9" t="n">
        <v>8.5</v>
      </c>
      <c r="F16" s="9" t="n">
        <f aca="false">C16*E16</f>
        <v>136</v>
      </c>
      <c r="G16" s="9" t="n">
        <f aca="false">E16*1.81818181818182</f>
        <v>15.4545454545455</v>
      </c>
      <c r="H16" s="9" t="n">
        <f aca="false">C16*G16</f>
        <v>247.272727272727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54</v>
      </c>
      <c r="D17" s="7" t="s">
        <v>52</v>
      </c>
      <c r="E17" s="9" t="n">
        <v>72</v>
      </c>
      <c r="F17" s="9" t="n">
        <f aca="false">C17*E17</f>
        <v>3888</v>
      </c>
      <c r="G17" s="9" t="n">
        <f aca="false">E17*1.81818181818182</f>
        <v>130.909090909091</v>
      </c>
      <c r="H17" s="9" t="n">
        <f aca="false">C17*G17</f>
        <v>7069.09090909091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80</v>
      </c>
      <c r="D18" s="7" t="s">
        <v>43</v>
      </c>
      <c r="E18" s="9" t="n">
        <v>1.5</v>
      </c>
      <c r="F18" s="9" t="n">
        <f aca="false">C18*E18</f>
        <v>120</v>
      </c>
      <c r="G18" s="9" t="n">
        <f aca="false">E18*1.81818181818182</f>
        <v>2.72727272727273</v>
      </c>
      <c r="H18" s="9" t="n">
        <f aca="false">C18*G18</f>
        <v>218.181818181818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54</v>
      </c>
      <c r="D19" s="7" t="s">
        <v>40</v>
      </c>
      <c r="E19" s="9" t="n">
        <v>2</v>
      </c>
      <c r="F19" s="9" t="n">
        <f aca="false">C19*E19</f>
        <v>108</v>
      </c>
      <c r="G19" s="9" t="n">
        <f aca="false">E19*1.81818181818182</f>
        <v>3.63636363636364</v>
      </c>
      <c r="H19" s="9" t="n">
        <f aca="false">C19*G19</f>
        <v>196.363636363636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1080</v>
      </c>
      <c r="D20" s="7" t="s">
        <v>40</v>
      </c>
      <c r="E20" s="9" t="n">
        <v>0.18</v>
      </c>
      <c r="F20" s="9" t="n">
        <f aca="false">C20*E20</f>
        <v>194.4</v>
      </c>
      <c r="G20" s="9" t="n">
        <f aca="false">E20*1.81818181818182</f>
        <v>0.327272727272727</v>
      </c>
      <c r="H20" s="9" t="n">
        <f aca="false">C20*G20</f>
        <v>353.454545454545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87</v>
      </c>
      <c r="D21" s="7" t="s">
        <v>52</v>
      </c>
      <c r="E21" s="9" t="n">
        <v>56</v>
      </c>
      <c r="F21" s="9" t="n">
        <f aca="false">C21*E21</f>
        <v>4872</v>
      </c>
      <c r="G21" s="9" t="n">
        <f aca="false">E21*1.81818181818182</f>
        <v>101.818181818182</v>
      </c>
      <c r="H21" s="9" t="n">
        <f aca="false">C21*G21</f>
        <v>8858.18181818182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34</v>
      </c>
      <c r="D22" s="7" t="s">
        <v>52</v>
      </c>
      <c r="E22" s="9" t="n">
        <v>18</v>
      </c>
      <c r="F22" s="9" t="n">
        <f aca="false">C22*E22</f>
        <v>612</v>
      </c>
      <c r="G22" s="9" t="n">
        <f aca="false">E22*1.81818181818182</f>
        <v>32.7272727272727</v>
      </c>
      <c r="H22" s="9" t="n">
        <f aca="false">C22*G22</f>
        <v>1112.72727272727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2080</v>
      </c>
      <c r="D23" s="7" t="s">
        <v>40</v>
      </c>
      <c r="E23" s="9" t="n">
        <v>0.16</v>
      </c>
      <c r="F23" s="9" t="n">
        <f aca="false">C23*E23</f>
        <v>332.8</v>
      </c>
      <c r="G23" s="9" t="n">
        <f aca="false">E23*1.81818181818182</f>
        <v>0.290909090909091</v>
      </c>
      <c r="H23" s="9" t="n">
        <f aca="false">C23*G23</f>
        <v>605.090909090909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12</v>
      </c>
      <c r="D24" s="7" t="s">
        <v>40</v>
      </c>
      <c r="E24" s="9" t="n">
        <v>2.5</v>
      </c>
      <c r="F24" s="9" t="n">
        <f aca="false">C24*E24</f>
        <v>30</v>
      </c>
      <c r="G24" s="9" t="n">
        <f aca="false">E24*1.81818181818182</f>
        <v>4.54545454545455</v>
      </c>
      <c r="H24" s="9" t="n">
        <f aca="false">C24*G24</f>
        <v>54.5454545454545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160</v>
      </c>
      <c r="D25" s="7" t="s">
        <v>43</v>
      </c>
      <c r="E25" s="9" t="n">
        <v>1.25</v>
      </c>
      <c r="F25" s="9" t="n">
        <f aca="false">C25*E25</f>
        <v>200</v>
      </c>
      <c r="G25" s="9" t="n">
        <f aca="false">E25*1.81818181818182</f>
        <v>2.27272727272727</v>
      </c>
      <c r="H25" s="9" t="n">
        <f aca="false">C25*G25</f>
        <v>363.636363636364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103.077640640442</v>
      </c>
      <c r="D26" s="7" t="s">
        <v>43</v>
      </c>
      <c r="E26" s="9" t="n">
        <v>1.5</v>
      </c>
      <c r="F26" s="9" t="n">
        <f aca="false">C26*E26</f>
        <v>154.616460960662</v>
      </c>
      <c r="G26" s="9" t="n">
        <f aca="false">E26*1.81818181818182</f>
        <v>2.72727272727273</v>
      </c>
      <c r="H26" s="9" t="n">
        <f aca="false">C26*G26</f>
        <v>281.120838110295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260</v>
      </c>
      <c r="D28" s="7" t="s">
        <v>43</v>
      </c>
      <c r="E28" s="9" t="n">
        <v>0.75</v>
      </c>
      <c r="F28" s="9" t="n">
        <f aca="false">C28*E28</f>
        <v>195</v>
      </c>
      <c r="G28" s="9" t="n">
        <f aca="false">E28*1.81818181818182</f>
        <v>1.36363636363636</v>
      </c>
      <c r="H28" s="9" t="n">
        <f aca="false">C28*G28</f>
        <v>354.545454545455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160</v>
      </c>
      <c r="D29" s="7" t="s">
        <v>43</v>
      </c>
      <c r="E29" s="9" t="n">
        <v>0.85</v>
      </c>
      <c r="F29" s="9" t="n">
        <f aca="false">C29*E29</f>
        <v>136</v>
      </c>
      <c r="G29" s="9" t="n">
        <f aca="false">E29*1.81818181818182</f>
        <v>1.54545454545455</v>
      </c>
      <c r="H29" s="9" t="n">
        <f aca="false">C29*G29</f>
        <v>247.272727272727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51.5388203202208</v>
      </c>
      <c r="D30" s="7" t="s">
        <v>43</v>
      </c>
      <c r="E30" s="9" t="n">
        <v>1</v>
      </c>
      <c r="F30" s="9" t="n">
        <f aca="false">C30*E30</f>
        <v>51.5388203202208</v>
      </c>
      <c r="G30" s="9" t="n">
        <f aca="false">E30*1.81818181818182</f>
        <v>1.81818181818182</v>
      </c>
      <c r="H30" s="9" t="n">
        <f aca="false">C30*G30</f>
        <v>93.706946036765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144</v>
      </c>
      <c r="D31" s="7" t="s">
        <v>40</v>
      </c>
      <c r="E31" s="9" t="n">
        <v>1.25</v>
      </c>
      <c r="F31" s="9" t="n">
        <f aca="false">C31*E31</f>
        <v>180</v>
      </c>
      <c r="G31" s="9" t="n">
        <f aca="false">E31*1.81818181818182</f>
        <v>2.27272727272727</v>
      </c>
      <c r="H31" s="9" t="n">
        <f aca="false">C31*G31</f>
        <v>327.272727272727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108</v>
      </c>
      <c r="D32" s="7" t="s">
        <v>40</v>
      </c>
      <c r="E32" s="9" t="n">
        <v>0.85</v>
      </c>
      <c r="F32" s="9" t="n">
        <f aca="false">C32*E32</f>
        <v>91.8</v>
      </c>
      <c r="G32" s="9" t="n">
        <f aca="false">E32*1.81818181818182</f>
        <v>1.54545454545455</v>
      </c>
      <c r="H32" s="9" t="n">
        <f aca="false">C32*G32</f>
        <v>166.909090909091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480</v>
      </c>
      <c r="D33" s="7" t="s">
        <v>40</v>
      </c>
      <c r="E33" s="9" t="n">
        <v>0.15</v>
      </c>
      <c r="F33" s="9" t="n">
        <f aca="false">C33*E33</f>
        <v>72</v>
      </c>
      <c r="G33" s="9" t="n">
        <f aca="false">E33*1.81818181818182</f>
        <v>0.272727272727273</v>
      </c>
      <c r="H33" s="9" t="n">
        <f aca="false">C33*G33</f>
        <v>130.909090909091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1248</v>
      </c>
      <c r="D34" s="7" t="s">
        <v>40</v>
      </c>
      <c r="E34" s="9" t="n">
        <v>0.15</v>
      </c>
      <c r="F34" s="9" t="n">
        <f aca="false">C34*E34</f>
        <v>187.2</v>
      </c>
      <c r="G34" s="9" t="n">
        <f aca="false">E34*1.81818181818182</f>
        <v>0.272727272727273</v>
      </c>
      <c r="H34" s="9" t="n">
        <f aca="false">C34*G34</f>
        <v>340.363636363636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16</v>
      </c>
      <c r="D35" s="7" t="s">
        <v>40</v>
      </c>
      <c r="E35" s="9" t="n">
        <v>14</v>
      </c>
      <c r="F35" s="9" t="n">
        <f aca="false">C35*E35</f>
        <v>224</v>
      </c>
      <c r="G35" s="9" t="n">
        <f aca="false">E35*1.81818181818182</f>
        <v>25.4545454545455</v>
      </c>
      <c r="H35" s="9" t="n">
        <f aca="false">C35*G35</f>
        <v>407.272727272727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36</v>
      </c>
      <c r="D36" s="7" t="s">
        <v>40</v>
      </c>
      <c r="E36" s="9" t="n">
        <v>1.5</v>
      </c>
      <c r="F36" s="9" t="n">
        <f aca="false">C36*E36</f>
        <v>54</v>
      </c>
      <c r="G36" s="9" t="n">
        <f aca="false">E36*1.81818181818182</f>
        <v>2.72727272727273</v>
      </c>
      <c r="H36" s="9" t="n">
        <f aca="false">C36*G36</f>
        <v>98.1818181818182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42</v>
      </c>
      <c r="D38" s="7" t="s">
        <v>76</v>
      </c>
      <c r="E38" s="9" t="n">
        <v>12</v>
      </c>
      <c r="F38" s="9" t="n">
        <f aca="false">C38*E38</f>
        <v>504</v>
      </c>
      <c r="G38" s="9" t="n">
        <f aca="false">E38*1.81818181818182</f>
        <v>21.8181818181818</v>
      </c>
      <c r="H38" s="9" t="n">
        <f aca="false">C38*G38</f>
        <v>916.363636363636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36131.3552812809</v>
      </c>
      <c r="H40" s="13" t="n">
        <f aca="false">SUM(H8:H39)</f>
        <v>65693.3732386925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99</v>
      </c>
      <c r="C8" s="8" t="n">
        <v>18</v>
      </c>
      <c r="D8" s="7" t="s">
        <v>40</v>
      </c>
      <c r="E8" s="9" t="n">
        <v>110</v>
      </c>
      <c r="F8" s="9" t="n">
        <f aca="false">C8*E8</f>
        <v>1980</v>
      </c>
      <c r="G8" s="9" t="n">
        <f aca="false">E8*1.81818181818182</f>
        <v>200</v>
      </c>
      <c r="H8" s="9" t="n">
        <f aca="false">C8*G8</f>
        <v>3600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20</v>
      </c>
      <c r="D9" s="7" t="s">
        <v>40</v>
      </c>
      <c r="E9" s="9" t="n">
        <v>650</v>
      </c>
      <c r="F9" s="9" t="n">
        <f aca="false">C9*E9</f>
        <v>13000</v>
      </c>
      <c r="G9" s="9" t="n">
        <f aca="false">E9*1.81818181818182</f>
        <v>1181.81818181818</v>
      </c>
      <c r="H9" s="9" t="n">
        <f aca="false">C9*G9</f>
        <v>23636.3636363636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260</v>
      </c>
      <c r="D10" s="7" t="s">
        <v>43</v>
      </c>
      <c r="E10" s="9" t="n">
        <v>4.25</v>
      </c>
      <c r="F10" s="9" t="n">
        <f aca="false">C10*E10</f>
        <v>1105</v>
      </c>
      <c r="G10" s="9" t="n">
        <f aca="false">E10*1.81818181818182</f>
        <v>7.72727272727273</v>
      </c>
      <c r="H10" s="9" t="n">
        <f aca="false">C10*G10</f>
        <v>2009.09090909091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18</v>
      </c>
      <c r="D13" s="7" t="s">
        <v>40</v>
      </c>
      <c r="E13" s="9" t="n">
        <v>28</v>
      </c>
      <c r="F13" s="9" t="n">
        <f aca="false">C13*E13</f>
        <v>504</v>
      </c>
      <c r="G13" s="9" t="n">
        <f aca="false">E13*1.81818181818182</f>
        <v>50.9090909090909</v>
      </c>
      <c r="H13" s="9" t="n">
        <f aca="false">C13*G13</f>
        <v>916.363636363636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960</v>
      </c>
      <c r="D14" s="7" t="s">
        <v>43</v>
      </c>
      <c r="E14" s="9" t="n">
        <v>4.5</v>
      </c>
      <c r="F14" s="9" t="n">
        <f aca="false">C14*E14</f>
        <v>4320</v>
      </c>
      <c r="G14" s="9" t="n">
        <f aca="false">E14*1.81818181818182</f>
        <v>8.18181818181818</v>
      </c>
      <c r="H14" s="9" t="n">
        <f aca="false">C14*G14</f>
        <v>7854.54545454545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1040</v>
      </c>
      <c r="D15" s="7" t="s">
        <v>43</v>
      </c>
      <c r="E15" s="9" t="n">
        <v>4.25</v>
      </c>
      <c r="F15" s="9" t="n">
        <f aca="false">C15*E15</f>
        <v>4420</v>
      </c>
      <c r="G15" s="9" t="n">
        <f aca="false">E15*1.81818181818182</f>
        <v>7.72727272727273</v>
      </c>
      <c r="H15" s="9" t="n">
        <f aca="false">C15*G15</f>
        <v>8036.36363636364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24</v>
      </c>
      <c r="D16" s="7" t="s">
        <v>45</v>
      </c>
      <c r="E16" s="9" t="n">
        <v>8.5</v>
      </c>
      <c r="F16" s="9" t="n">
        <f aca="false">C16*E16</f>
        <v>204</v>
      </c>
      <c r="G16" s="9" t="n">
        <f aca="false">E16*1.81818181818182</f>
        <v>15.4545454545455</v>
      </c>
      <c r="H16" s="9" t="n">
        <f aca="false">C16*G16</f>
        <v>370.909090909091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54</v>
      </c>
      <c r="D17" s="7" t="s">
        <v>52</v>
      </c>
      <c r="E17" s="9" t="n">
        <v>72</v>
      </c>
      <c r="F17" s="9" t="n">
        <f aca="false">C17*E17</f>
        <v>3888</v>
      </c>
      <c r="G17" s="9" t="n">
        <f aca="false">E17*1.81818181818182</f>
        <v>130.909090909091</v>
      </c>
      <c r="H17" s="9" t="n">
        <f aca="false">C17*G17</f>
        <v>7069.09090909091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80</v>
      </c>
      <c r="D18" s="7" t="s">
        <v>43</v>
      </c>
      <c r="E18" s="9" t="n">
        <v>1.5</v>
      </c>
      <c r="F18" s="9" t="n">
        <f aca="false">C18*E18</f>
        <v>120</v>
      </c>
      <c r="G18" s="9" t="n">
        <f aca="false">E18*1.81818181818182</f>
        <v>2.72727272727273</v>
      </c>
      <c r="H18" s="9" t="n">
        <f aca="false">C18*G18</f>
        <v>218.181818181818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54</v>
      </c>
      <c r="D19" s="7" t="s">
        <v>40</v>
      </c>
      <c r="E19" s="9" t="n">
        <v>2</v>
      </c>
      <c r="F19" s="9" t="n">
        <f aca="false">C19*E19</f>
        <v>108</v>
      </c>
      <c r="G19" s="9" t="n">
        <f aca="false">E19*1.81818181818182</f>
        <v>3.63636363636364</v>
      </c>
      <c r="H19" s="9" t="n">
        <f aca="false">C19*G19</f>
        <v>196.363636363636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1080</v>
      </c>
      <c r="D20" s="7" t="s">
        <v>40</v>
      </c>
      <c r="E20" s="9" t="n">
        <v>0.18</v>
      </c>
      <c r="F20" s="9" t="n">
        <f aca="false">C20*E20</f>
        <v>194.4</v>
      </c>
      <c r="G20" s="9" t="n">
        <f aca="false">E20*1.81818181818182</f>
        <v>0.327272727272727</v>
      </c>
      <c r="H20" s="9" t="n">
        <f aca="false">C20*G20</f>
        <v>353.454545454545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87</v>
      </c>
      <c r="D21" s="7" t="s">
        <v>52</v>
      </c>
      <c r="E21" s="9" t="n">
        <v>70</v>
      </c>
      <c r="F21" s="9" t="n">
        <f aca="false">C21*E21</f>
        <v>6090</v>
      </c>
      <c r="G21" s="9" t="n">
        <f aca="false">E21*1.81818181818182</f>
        <v>127.272727272727</v>
      </c>
      <c r="H21" s="9" t="n">
        <f aca="false">C21*G21</f>
        <v>11072.7272727273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34</v>
      </c>
      <c r="D22" s="7" t="s">
        <v>52</v>
      </c>
      <c r="E22" s="9" t="n">
        <v>18</v>
      </c>
      <c r="F22" s="9" t="n">
        <f aca="false">C22*E22</f>
        <v>612</v>
      </c>
      <c r="G22" s="9" t="n">
        <f aca="false">E22*1.81818181818182</f>
        <v>32.7272727272727</v>
      </c>
      <c r="H22" s="9" t="n">
        <f aca="false">C22*G22</f>
        <v>1112.72727272727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2600</v>
      </c>
      <c r="D23" s="7" t="s">
        <v>40</v>
      </c>
      <c r="E23" s="9" t="n">
        <v>0.16</v>
      </c>
      <c r="F23" s="9" t="n">
        <f aca="false">C23*E23</f>
        <v>416</v>
      </c>
      <c r="G23" s="9" t="n">
        <f aca="false">E23*1.81818181818182</f>
        <v>0.290909090909091</v>
      </c>
      <c r="H23" s="9" t="n">
        <f aca="false">C23*G23</f>
        <v>756.363636363636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12</v>
      </c>
      <c r="D24" s="7" t="s">
        <v>40</v>
      </c>
      <c r="E24" s="9" t="n">
        <v>2.5</v>
      </c>
      <c r="F24" s="9" t="n">
        <f aca="false">C24*E24</f>
        <v>30</v>
      </c>
      <c r="G24" s="9" t="n">
        <f aca="false">E24*1.81818181818182</f>
        <v>4.54545454545455</v>
      </c>
      <c r="H24" s="9" t="n">
        <f aca="false">C24*G24</f>
        <v>54.5454545454545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160</v>
      </c>
      <c r="D25" s="7" t="s">
        <v>43</v>
      </c>
      <c r="E25" s="9" t="n">
        <v>1.25</v>
      </c>
      <c r="F25" s="9" t="n">
        <f aca="false">C25*E25</f>
        <v>200</v>
      </c>
      <c r="G25" s="9" t="n">
        <f aca="false">E25*1.81818181818182</f>
        <v>2.27272727272727</v>
      </c>
      <c r="H25" s="9" t="n">
        <f aca="false">C25*G25</f>
        <v>363.636363636364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103.077640640442</v>
      </c>
      <c r="D26" s="7" t="s">
        <v>43</v>
      </c>
      <c r="E26" s="9" t="n">
        <v>1.5</v>
      </c>
      <c r="F26" s="9" t="n">
        <f aca="false">C26*E26</f>
        <v>154.616460960662</v>
      </c>
      <c r="G26" s="9" t="n">
        <f aca="false">E26*1.81818181818182</f>
        <v>2.72727272727273</v>
      </c>
      <c r="H26" s="9" t="n">
        <f aca="false">C26*G26</f>
        <v>281.120838110295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260</v>
      </c>
      <c r="D28" s="7" t="s">
        <v>43</v>
      </c>
      <c r="E28" s="9" t="n">
        <v>0.75</v>
      </c>
      <c r="F28" s="9" t="n">
        <f aca="false">C28*E28</f>
        <v>195</v>
      </c>
      <c r="G28" s="9" t="n">
        <f aca="false">E28*1.81818181818182</f>
        <v>1.36363636363636</v>
      </c>
      <c r="H28" s="9" t="n">
        <f aca="false">C28*G28</f>
        <v>354.545454545455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160</v>
      </c>
      <c r="D29" s="7" t="s">
        <v>43</v>
      </c>
      <c r="E29" s="9" t="n">
        <v>0.85</v>
      </c>
      <c r="F29" s="9" t="n">
        <f aca="false">C29*E29</f>
        <v>136</v>
      </c>
      <c r="G29" s="9" t="n">
        <f aca="false">E29*1.81818181818182</f>
        <v>1.54545454545455</v>
      </c>
      <c r="H29" s="9" t="n">
        <f aca="false">C29*G29</f>
        <v>247.272727272727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51.5388203202208</v>
      </c>
      <c r="D30" s="7" t="s">
        <v>43</v>
      </c>
      <c r="E30" s="9" t="n">
        <v>1</v>
      </c>
      <c r="F30" s="9" t="n">
        <f aca="false">C30*E30</f>
        <v>51.5388203202208</v>
      </c>
      <c r="G30" s="9" t="n">
        <f aca="false">E30*1.81818181818182</f>
        <v>1.81818181818182</v>
      </c>
      <c r="H30" s="9" t="n">
        <f aca="false">C30*G30</f>
        <v>93.706946036765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180</v>
      </c>
      <c r="D31" s="7" t="s">
        <v>40</v>
      </c>
      <c r="E31" s="9" t="n">
        <v>1.25</v>
      </c>
      <c r="F31" s="9" t="n">
        <f aca="false">C31*E31</f>
        <v>225</v>
      </c>
      <c r="G31" s="9" t="n">
        <f aca="false">E31*1.81818181818182</f>
        <v>2.27272727272727</v>
      </c>
      <c r="H31" s="9" t="n">
        <f aca="false">C31*G31</f>
        <v>409.090909090909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108</v>
      </c>
      <c r="D32" s="7" t="s">
        <v>40</v>
      </c>
      <c r="E32" s="9" t="n">
        <v>0.85</v>
      </c>
      <c r="F32" s="9" t="n">
        <f aca="false">C32*E32</f>
        <v>91.8</v>
      </c>
      <c r="G32" s="9" t="n">
        <f aca="false">E32*1.81818181818182</f>
        <v>1.54545454545455</v>
      </c>
      <c r="H32" s="9" t="n">
        <f aca="false">C32*G32</f>
        <v>166.909090909091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480</v>
      </c>
      <c r="D33" s="7" t="s">
        <v>40</v>
      </c>
      <c r="E33" s="9" t="n">
        <v>0.15</v>
      </c>
      <c r="F33" s="9" t="n">
        <f aca="false">C33*E33</f>
        <v>72</v>
      </c>
      <c r="G33" s="9" t="n">
        <f aca="false">E33*1.81818181818182</f>
        <v>0.272727272727273</v>
      </c>
      <c r="H33" s="9" t="n">
        <f aca="false">C33*G33</f>
        <v>130.909090909091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1248</v>
      </c>
      <c r="D34" s="7" t="s">
        <v>40</v>
      </c>
      <c r="E34" s="9" t="n">
        <v>0.15</v>
      </c>
      <c r="F34" s="9" t="n">
        <f aca="false">C34*E34</f>
        <v>187.2</v>
      </c>
      <c r="G34" s="9" t="n">
        <f aca="false">E34*1.81818181818182</f>
        <v>0.272727272727273</v>
      </c>
      <c r="H34" s="9" t="n">
        <f aca="false">C34*G34</f>
        <v>340.363636363636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32</v>
      </c>
      <c r="D35" s="7" t="s">
        <v>40</v>
      </c>
      <c r="E35" s="9" t="n">
        <v>16</v>
      </c>
      <c r="F35" s="9" t="n">
        <f aca="false">C35*E35</f>
        <v>512</v>
      </c>
      <c r="G35" s="9" t="n">
        <f aca="false">E35*1.81818181818182</f>
        <v>29.0909090909091</v>
      </c>
      <c r="H35" s="9" t="n">
        <f aca="false">C35*G35</f>
        <v>930.909090909091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72</v>
      </c>
      <c r="D36" s="7" t="s">
        <v>40</v>
      </c>
      <c r="E36" s="9" t="n">
        <v>1.5</v>
      </c>
      <c r="F36" s="9" t="n">
        <f aca="false">C36*E36</f>
        <v>108</v>
      </c>
      <c r="G36" s="9" t="n">
        <f aca="false">E36*1.81818181818182</f>
        <v>2.72727272727273</v>
      </c>
      <c r="H36" s="9" t="n">
        <f aca="false">C36*G36</f>
        <v>196.363636363636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52</v>
      </c>
      <c r="D38" s="7" t="s">
        <v>76</v>
      </c>
      <c r="E38" s="9" t="n">
        <v>12</v>
      </c>
      <c r="F38" s="9" t="n">
        <f aca="false">C38*E38</f>
        <v>624</v>
      </c>
      <c r="G38" s="9" t="n">
        <f aca="false">E38*1.81818181818182</f>
        <v>21.8181818181818</v>
      </c>
      <c r="H38" s="9" t="n">
        <f aca="false">C38*G38</f>
        <v>1134.54545454545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41213.5552812809</v>
      </c>
      <c r="H40" s="13" t="n">
        <f aca="false">SUM(H8:H39)</f>
        <v>74933.7368750561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103</v>
      </c>
      <c r="C8" s="8" t="n">
        <v>18</v>
      </c>
      <c r="D8" s="7" t="s">
        <v>40</v>
      </c>
      <c r="E8" s="9" t="n">
        <v>125</v>
      </c>
      <c r="F8" s="9" t="n">
        <f aca="false">C8*E8</f>
        <v>2250</v>
      </c>
      <c r="G8" s="9" t="n">
        <f aca="false">E8*1.81818181818182</f>
        <v>227.272727272727</v>
      </c>
      <c r="H8" s="9" t="n">
        <f aca="false">C8*G8</f>
        <v>4090.90909090909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20</v>
      </c>
      <c r="D9" s="7" t="s">
        <v>40</v>
      </c>
      <c r="E9" s="9" t="n">
        <v>275</v>
      </c>
      <c r="F9" s="9" t="n">
        <f aca="false">C9*E9</f>
        <v>5500</v>
      </c>
      <c r="G9" s="9" t="n">
        <f aca="false">E9*1.81818181818182</f>
        <v>500</v>
      </c>
      <c r="H9" s="9" t="n">
        <f aca="false">C9*G9</f>
        <v>10000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260</v>
      </c>
      <c r="D10" s="7" t="s">
        <v>43</v>
      </c>
      <c r="E10" s="9" t="n">
        <v>2.5</v>
      </c>
      <c r="F10" s="9" t="n">
        <f aca="false">C10*E10</f>
        <v>650</v>
      </c>
      <c r="G10" s="9" t="n">
        <f aca="false">E10*1.81818181818182</f>
        <v>4.54545454545455</v>
      </c>
      <c r="H10" s="9" t="n">
        <f aca="false">C10*G10</f>
        <v>1181.81818181818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18</v>
      </c>
      <c r="D12" s="7" t="s">
        <v>40</v>
      </c>
      <c r="E12" s="9" t="n">
        <v>18</v>
      </c>
      <c r="F12" s="9" t="n">
        <f aca="false">C12*E12</f>
        <v>324</v>
      </c>
      <c r="G12" s="9" t="n">
        <f aca="false">E12*1.81818181818182</f>
        <v>32.7272727272727</v>
      </c>
      <c r="H12" s="9" t="n">
        <f aca="false">C12*G12</f>
        <v>589.090909090909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960</v>
      </c>
      <c r="D13" s="7" t="s">
        <v>43</v>
      </c>
      <c r="E13" s="9" t="n">
        <v>4.5</v>
      </c>
      <c r="F13" s="9" t="n">
        <f aca="false">C13*E13</f>
        <v>4320</v>
      </c>
      <c r="G13" s="9" t="n">
        <f aca="false">E13*1.81818181818182</f>
        <v>8.18181818181818</v>
      </c>
      <c r="H13" s="9" t="n">
        <f aca="false">C13*G13</f>
        <v>7854.54545454545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520</v>
      </c>
      <c r="D14" s="7" t="s">
        <v>43</v>
      </c>
      <c r="E14" s="9" t="n">
        <v>3.5</v>
      </c>
      <c r="F14" s="9" t="n">
        <f aca="false">C14*E14</f>
        <v>1820</v>
      </c>
      <c r="G14" s="9" t="n">
        <f aca="false">E14*1.81818181818182</f>
        <v>6.36363636363636</v>
      </c>
      <c r="H14" s="9" t="n">
        <f aca="false">C14*G14</f>
        <v>3309.09090909091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54</v>
      </c>
      <c r="D15" s="7" t="s">
        <v>52</v>
      </c>
      <c r="E15" s="9" t="n">
        <v>72</v>
      </c>
      <c r="F15" s="9" t="n">
        <f aca="false">C15*E15</f>
        <v>3888</v>
      </c>
      <c r="G15" s="9" t="n">
        <f aca="false">E15*1.81818181818182</f>
        <v>130.909090909091</v>
      </c>
      <c r="H15" s="9" t="n">
        <f aca="false">C15*G15</f>
        <v>7069.09090909091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80</v>
      </c>
      <c r="D16" s="7" t="s">
        <v>43</v>
      </c>
      <c r="E16" s="9" t="n">
        <v>1.5</v>
      </c>
      <c r="F16" s="9" t="n">
        <f aca="false">C16*E16</f>
        <v>120</v>
      </c>
      <c r="G16" s="9" t="n">
        <f aca="false">E16*1.81818181818182</f>
        <v>2.72727272727273</v>
      </c>
      <c r="H16" s="9" t="n">
        <f aca="false">C16*G16</f>
        <v>218.181818181818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54</v>
      </c>
      <c r="D17" s="7" t="s">
        <v>40</v>
      </c>
      <c r="E17" s="9" t="n">
        <v>2</v>
      </c>
      <c r="F17" s="9" t="n">
        <f aca="false">C17*E17</f>
        <v>108</v>
      </c>
      <c r="G17" s="9" t="n">
        <f aca="false">E17*1.81818181818182</f>
        <v>3.63636363636364</v>
      </c>
      <c r="H17" s="9" t="n">
        <f aca="false">C17*G17</f>
        <v>196.363636363636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1080</v>
      </c>
      <c r="D18" s="7" t="s">
        <v>40</v>
      </c>
      <c r="E18" s="9" t="n">
        <v>0.18</v>
      </c>
      <c r="F18" s="9" t="n">
        <f aca="false">C18*E18</f>
        <v>194.4</v>
      </c>
      <c r="G18" s="9" t="n">
        <f aca="false">E18*1.81818181818182</f>
        <v>0.327272727272727</v>
      </c>
      <c r="H18" s="9" t="n">
        <f aca="false">C18*G18</f>
        <v>353.454545454545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87</v>
      </c>
      <c r="D19" s="7" t="s">
        <v>52</v>
      </c>
      <c r="E19" s="9" t="n">
        <v>35</v>
      </c>
      <c r="F19" s="9" t="n">
        <f aca="false">C19*E19</f>
        <v>3045</v>
      </c>
      <c r="G19" s="9" t="n">
        <f aca="false">E19*1.81818181818182</f>
        <v>63.6363636363636</v>
      </c>
      <c r="H19" s="9" t="n">
        <f aca="false">C19*G19</f>
        <v>5536.36363636364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34</v>
      </c>
      <c r="D20" s="7" t="s">
        <v>52</v>
      </c>
      <c r="E20" s="9" t="n">
        <v>18</v>
      </c>
      <c r="F20" s="9" t="n">
        <f aca="false">C20*E20</f>
        <v>612</v>
      </c>
      <c r="G20" s="9" t="n">
        <f aca="false">E20*1.81818181818182</f>
        <v>32.7272727272727</v>
      </c>
      <c r="H20" s="9" t="n">
        <f aca="false">C20*G20</f>
        <v>1112.72727272727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1300</v>
      </c>
      <c r="D21" s="7" t="s">
        <v>40</v>
      </c>
      <c r="E21" s="9" t="n">
        <v>0.16</v>
      </c>
      <c r="F21" s="9" t="n">
        <f aca="false">C21*E21</f>
        <v>208</v>
      </c>
      <c r="G21" s="9" t="n">
        <f aca="false">E21*1.81818181818182</f>
        <v>0.290909090909091</v>
      </c>
      <c r="H21" s="9" t="n">
        <f aca="false">C21*G21</f>
        <v>378.181818181818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12</v>
      </c>
      <c r="D22" s="7" t="s">
        <v>40</v>
      </c>
      <c r="E22" s="9" t="n">
        <v>2.5</v>
      </c>
      <c r="F22" s="9" t="n">
        <f aca="false">C22*E22</f>
        <v>30</v>
      </c>
      <c r="G22" s="9" t="n">
        <f aca="false">E22*1.81818181818182</f>
        <v>4.54545454545455</v>
      </c>
      <c r="H22" s="9" t="n">
        <f aca="false">C22*G22</f>
        <v>54.5454545454545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160</v>
      </c>
      <c r="D23" s="7" t="s">
        <v>43</v>
      </c>
      <c r="E23" s="9" t="n">
        <v>1.25</v>
      </c>
      <c r="F23" s="9" t="n">
        <f aca="false">C23*E23</f>
        <v>200</v>
      </c>
      <c r="G23" s="9" t="n">
        <f aca="false">E23*1.81818181818182</f>
        <v>2.27272727272727</v>
      </c>
      <c r="H23" s="9" t="n">
        <f aca="false">C23*G23</f>
        <v>363.636363636364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103.077640640442</v>
      </c>
      <c r="D24" s="7" t="s">
        <v>43</v>
      </c>
      <c r="E24" s="9" t="n">
        <v>1.5</v>
      </c>
      <c r="F24" s="9" t="n">
        <f aca="false">C24*E24</f>
        <v>154.616460960662</v>
      </c>
      <c r="G24" s="9" t="n">
        <f aca="false">E24*1.81818181818182</f>
        <v>2.72727272727273</v>
      </c>
      <c r="H24" s="9" t="n">
        <f aca="false">C24*G24</f>
        <v>281.120838110295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260</v>
      </c>
      <c r="D26" s="7" t="s">
        <v>43</v>
      </c>
      <c r="E26" s="9" t="n">
        <v>0.75</v>
      </c>
      <c r="F26" s="9" t="n">
        <f aca="false">C26*E26</f>
        <v>195</v>
      </c>
      <c r="G26" s="9" t="n">
        <f aca="false">E26*1.81818181818182</f>
        <v>1.36363636363636</v>
      </c>
      <c r="H26" s="9" t="n">
        <f aca="false">C26*G26</f>
        <v>354.545454545455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160</v>
      </c>
      <c r="D27" s="7" t="s">
        <v>43</v>
      </c>
      <c r="E27" s="9" t="n">
        <v>0.85</v>
      </c>
      <c r="F27" s="9" t="n">
        <f aca="false">C27*E27</f>
        <v>136</v>
      </c>
      <c r="G27" s="9" t="n">
        <f aca="false">E27*1.81818181818182</f>
        <v>1.54545454545455</v>
      </c>
      <c r="H27" s="9" t="n">
        <f aca="false">C27*G27</f>
        <v>247.272727272727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51.5388203202208</v>
      </c>
      <c r="D28" s="7" t="s">
        <v>43</v>
      </c>
      <c r="E28" s="9" t="n">
        <v>1</v>
      </c>
      <c r="F28" s="9" t="n">
        <f aca="false">C28*E28</f>
        <v>51.5388203202208</v>
      </c>
      <c r="G28" s="9" t="n">
        <f aca="false">E28*1.81818181818182</f>
        <v>1.81818181818182</v>
      </c>
      <c r="H28" s="9" t="n">
        <f aca="false">C28*G28</f>
        <v>93.706946036765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72</v>
      </c>
      <c r="D29" s="7" t="s">
        <v>40</v>
      </c>
      <c r="E29" s="9" t="n">
        <v>1.25</v>
      </c>
      <c r="F29" s="9" t="n">
        <f aca="false">C29*E29</f>
        <v>90</v>
      </c>
      <c r="G29" s="9" t="n">
        <f aca="false">E29*1.81818181818182</f>
        <v>2.27272727272727</v>
      </c>
      <c r="H29" s="9" t="n">
        <f aca="false">C29*G29</f>
        <v>163.636363636364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72</v>
      </c>
      <c r="D30" s="7" t="s">
        <v>40</v>
      </c>
      <c r="E30" s="9" t="n">
        <v>0.85</v>
      </c>
      <c r="F30" s="9" t="n">
        <f aca="false">C30*E30</f>
        <v>61.2</v>
      </c>
      <c r="G30" s="9" t="n">
        <f aca="false">E30*1.81818181818182</f>
        <v>1.54545454545455</v>
      </c>
      <c r="H30" s="9" t="n">
        <f aca="false">C30*G30</f>
        <v>111.272727272727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480</v>
      </c>
      <c r="D31" s="7" t="s">
        <v>40</v>
      </c>
      <c r="E31" s="9" t="n">
        <v>0.15</v>
      </c>
      <c r="F31" s="9" t="n">
        <f aca="false">C31*E31</f>
        <v>72</v>
      </c>
      <c r="G31" s="9" t="n">
        <f aca="false">E31*1.81818181818182</f>
        <v>0.272727272727273</v>
      </c>
      <c r="H31" s="9" t="n">
        <f aca="false">C31*G31</f>
        <v>130.909090909091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624</v>
      </c>
      <c r="D32" s="7" t="s">
        <v>40</v>
      </c>
      <c r="E32" s="9" t="n">
        <v>0.15</v>
      </c>
      <c r="F32" s="9" t="n">
        <f aca="false">C32*E32</f>
        <v>93.6</v>
      </c>
      <c r="G32" s="9" t="n">
        <f aca="false">E32*1.81818181818182</f>
        <v>0.272727272727273</v>
      </c>
      <c r="H32" s="9" t="n">
        <f aca="false">C32*G32</f>
        <v>170.181818181818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26</v>
      </c>
      <c r="D34" s="7" t="s">
        <v>76</v>
      </c>
      <c r="E34" s="9" t="n">
        <v>12</v>
      </c>
      <c r="F34" s="9" t="n">
        <f aca="false">C34*E34</f>
        <v>312</v>
      </c>
      <c r="G34" s="9" t="n">
        <f aca="false">E34*1.81818181818182</f>
        <v>21.8181818181818</v>
      </c>
      <c r="H34" s="9" t="n">
        <f aca="false">C34*G34</f>
        <v>567.272727272727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24880.3552812809</v>
      </c>
      <c r="H36" s="13" t="n">
        <f aca="false">SUM(H8:H35)</f>
        <v>45237.0096023289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106</v>
      </c>
      <c r="C8" s="8" t="n">
        <v>18</v>
      </c>
      <c r="D8" s="7" t="s">
        <v>40</v>
      </c>
      <c r="E8" s="9" t="n">
        <v>150</v>
      </c>
      <c r="F8" s="9" t="n">
        <f aca="false">C8*E8</f>
        <v>2700</v>
      </c>
      <c r="G8" s="9" t="n">
        <f aca="false">E8*1.81818181818182</f>
        <v>272.727272727273</v>
      </c>
      <c r="H8" s="9" t="n">
        <f aca="false">C8*G8</f>
        <v>4909.09090909091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20</v>
      </c>
      <c r="D9" s="7" t="s">
        <v>40</v>
      </c>
      <c r="E9" s="9" t="n">
        <v>275</v>
      </c>
      <c r="F9" s="9" t="n">
        <f aca="false">C9*E9</f>
        <v>5500</v>
      </c>
      <c r="G9" s="9" t="n">
        <f aca="false">E9*1.81818181818182</f>
        <v>500</v>
      </c>
      <c r="H9" s="9" t="n">
        <f aca="false">C9*G9</f>
        <v>10000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260</v>
      </c>
      <c r="D10" s="7" t="s">
        <v>43</v>
      </c>
      <c r="E10" s="9" t="n">
        <v>2.75</v>
      </c>
      <c r="F10" s="9" t="n">
        <f aca="false">C10*E10</f>
        <v>715</v>
      </c>
      <c r="G10" s="9" t="n">
        <f aca="false">E10*1.81818181818182</f>
        <v>5</v>
      </c>
      <c r="H10" s="9" t="n">
        <f aca="false">C10*G10</f>
        <v>1300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18</v>
      </c>
      <c r="D12" s="7" t="s">
        <v>40</v>
      </c>
      <c r="E12" s="9" t="n">
        <v>22</v>
      </c>
      <c r="F12" s="9" t="n">
        <f aca="false">C12*E12</f>
        <v>396</v>
      </c>
      <c r="G12" s="9" t="n">
        <f aca="false">E12*1.81818181818182</f>
        <v>40</v>
      </c>
      <c r="H12" s="9" t="n">
        <f aca="false">C12*G12</f>
        <v>720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960</v>
      </c>
      <c r="D13" s="7" t="s">
        <v>43</v>
      </c>
      <c r="E13" s="9" t="n">
        <v>4.5</v>
      </c>
      <c r="F13" s="9" t="n">
        <f aca="false">C13*E13</f>
        <v>4320</v>
      </c>
      <c r="G13" s="9" t="n">
        <f aca="false">E13*1.81818181818182</f>
        <v>8.18181818181818</v>
      </c>
      <c r="H13" s="9" t="n">
        <f aca="false">C13*G13</f>
        <v>7854.54545454545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780</v>
      </c>
      <c r="D14" s="7" t="s">
        <v>43</v>
      </c>
      <c r="E14" s="9" t="n">
        <v>3.5</v>
      </c>
      <c r="F14" s="9" t="n">
        <f aca="false">C14*E14</f>
        <v>2730</v>
      </c>
      <c r="G14" s="9" t="n">
        <f aca="false">E14*1.81818181818182</f>
        <v>6.36363636363636</v>
      </c>
      <c r="H14" s="9" t="n">
        <f aca="false">C14*G14</f>
        <v>4963.63636363636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54</v>
      </c>
      <c r="D15" s="7" t="s">
        <v>52</v>
      </c>
      <c r="E15" s="9" t="n">
        <v>72</v>
      </c>
      <c r="F15" s="9" t="n">
        <f aca="false">C15*E15</f>
        <v>3888</v>
      </c>
      <c r="G15" s="9" t="n">
        <f aca="false">E15*1.81818181818182</f>
        <v>130.909090909091</v>
      </c>
      <c r="H15" s="9" t="n">
        <f aca="false">C15*G15</f>
        <v>7069.09090909091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80</v>
      </c>
      <c r="D16" s="7" t="s">
        <v>43</v>
      </c>
      <c r="E16" s="9" t="n">
        <v>1.5</v>
      </c>
      <c r="F16" s="9" t="n">
        <f aca="false">C16*E16</f>
        <v>120</v>
      </c>
      <c r="G16" s="9" t="n">
        <f aca="false">E16*1.81818181818182</f>
        <v>2.72727272727273</v>
      </c>
      <c r="H16" s="9" t="n">
        <f aca="false">C16*G16</f>
        <v>218.181818181818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54</v>
      </c>
      <c r="D17" s="7" t="s">
        <v>40</v>
      </c>
      <c r="E17" s="9" t="n">
        <v>2</v>
      </c>
      <c r="F17" s="9" t="n">
        <f aca="false">C17*E17</f>
        <v>108</v>
      </c>
      <c r="G17" s="9" t="n">
        <f aca="false">E17*1.81818181818182</f>
        <v>3.63636363636364</v>
      </c>
      <c r="H17" s="9" t="n">
        <f aca="false">C17*G17</f>
        <v>196.363636363636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1080</v>
      </c>
      <c r="D18" s="7" t="s">
        <v>40</v>
      </c>
      <c r="E18" s="9" t="n">
        <v>0.18</v>
      </c>
      <c r="F18" s="9" t="n">
        <f aca="false">C18*E18</f>
        <v>194.4</v>
      </c>
      <c r="G18" s="9" t="n">
        <f aca="false">E18*1.81818181818182</f>
        <v>0.327272727272727</v>
      </c>
      <c r="H18" s="9" t="n">
        <f aca="false">C18*G18</f>
        <v>353.454545454545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87</v>
      </c>
      <c r="D19" s="7" t="s">
        <v>52</v>
      </c>
      <c r="E19" s="9" t="n">
        <v>42</v>
      </c>
      <c r="F19" s="9" t="n">
        <f aca="false">C19*E19</f>
        <v>3654</v>
      </c>
      <c r="G19" s="9" t="n">
        <f aca="false">E19*1.81818181818182</f>
        <v>76.3636363636364</v>
      </c>
      <c r="H19" s="9" t="n">
        <f aca="false">C19*G19</f>
        <v>6643.63636363636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34</v>
      </c>
      <c r="D20" s="7" t="s">
        <v>52</v>
      </c>
      <c r="E20" s="9" t="n">
        <v>18</v>
      </c>
      <c r="F20" s="9" t="n">
        <f aca="false">C20*E20</f>
        <v>612</v>
      </c>
      <c r="G20" s="9" t="n">
        <f aca="false">E20*1.81818181818182</f>
        <v>32.7272727272727</v>
      </c>
      <c r="H20" s="9" t="n">
        <f aca="false">C20*G20</f>
        <v>1112.72727272727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1560</v>
      </c>
      <c r="D21" s="7" t="s">
        <v>40</v>
      </c>
      <c r="E21" s="9" t="n">
        <v>0.16</v>
      </c>
      <c r="F21" s="9" t="n">
        <f aca="false">C21*E21</f>
        <v>249.6</v>
      </c>
      <c r="G21" s="9" t="n">
        <f aca="false">E21*1.81818181818182</f>
        <v>0.290909090909091</v>
      </c>
      <c r="H21" s="9" t="n">
        <f aca="false">C21*G21</f>
        <v>453.818181818182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12</v>
      </c>
      <c r="D22" s="7" t="s">
        <v>40</v>
      </c>
      <c r="E22" s="9" t="n">
        <v>2.5</v>
      </c>
      <c r="F22" s="9" t="n">
        <f aca="false">C22*E22</f>
        <v>30</v>
      </c>
      <c r="G22" s="9" t="n">
        <f aca="false">E22*1.81818181818182</f>
        <v>4.54545454545455</v>
      </c>
      <c r="H22" s="9" t="n">
        <f aca="false">C22*G22</f>
        <v>54.5454545454545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160</v>
      </c>
      <c r="D23" s="7" t="s">
        <v>43</v>
      </c>
      <c r="E23" s="9" t="n">
        <v>1.25</v>
      </c>
      <c r="F23" s="9" t="n">
        <f aca="false">C23*E23</f>
        <v>200</v>
      </c>
      <c r="G23" s="9" t="n">
        <f aca="false">E23*1.81818181818182</f>
        <v>2.27272727272727</v>
      </c>
      <c r="H23" s="9" t="n">
        <f aca="false">C23*G23</f>
        <v>363.636363636364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103.077640640442</v>
      </c>
      <c r="D24" s="7" t="s">
        <v>43</v>
      </c>
      <c r="E24" s="9" t="n">
        <v>1.5</v>
      </c>
      <c r="F24" s="9" t="n">
        <f aca="false">C24*E24</f>
        <v>154.616460960662</v>
      </c>
      <c r="G24" s="9" t="n">
        <f aca="false">E24*1.81818181818182</f>
        <v>2.72727272727273</v>
      </c>
      <c r="H24" s="9" t="n">
        <f aca="false">C24*G24</f>
        <v>281.120838110295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260</v>
      </c>
      <c r="D26" s="7" t="s">
        <v>43</v>
      </c>
      <c r="E26" s="9" t="n">
        <v>0.75</v>
      </c>
      <c r="F26" s="9" t="n">
        <f aca="false">C26*E26</f>
        <v>195</v>
      </c>
      <c r="G26" s="9" t="n">
        <f aca="false">E26*1.81818181818182</f>
        <v>1.36363636363636</v>
      </c>
      <c r="H26" s="9" t="n">
        <f aca="false">C26*G26</f>
        <v>354.545454545455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160</v>
      </c>
      <c r="D27" s="7" t="s">
        <v>43</v>
      </c>
      <c r="E27" s="9" t="n">
        <v>0.85</v>
      </c>
      <c r="F27" s="9" t="n">
        <f aca="false">C27*E27</f>
        <v>136</v>
      </c>
      <c r="G27" s="9" t="n">
        <f aca="false">E27*1.81818181818182</f>
        <v>1.54545454545455</v>
      </c>
      <c r="H27" s="9" t="n">
        <f aca="false">C27*G27</f>
        <v>247.272727272727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51.5388203202208</v>
      </c>
      <c r="D28" s="7" t="s">
        <v>43</v>
      </c>
      <c r="E28" s="9" t="n">
        <v>1</v>
      </c>
      <c r="F28" s="9" t="n">
        <f aca="false">C28*E28</f>
        <v>51.5388203202208</v>
      </c>
      <c r="G28" s="9" t="n">
        <f aca="false">E28*1.81818181818182</f>
        <v>1.81818181818182</v>
      </c>
      <c r="H28" s="9" t="n">
        <f aca="false">C28*G28</f>
        <v>93.706946036765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90</v>
      </c>
      <c r="D29" s="7" t="s">
        <v>40</v>
      </c>
      <c r="E29" s="9" t="n">
        <v>1.25</v>
      </c>
      <c r="F29" s="9" t="n">
        <f aca="false">C29*E29</f>
        <v>112.5</v>
      </c>
      <c r="G29" s="9" t="n">
        <f aca="false">E29*1.81818181818182</f>
        <v>2.27272727272727</v>
      </c>
      <c r="H29" s="9" t="n">
        <f aca="false">C29*G29</f>
        <v>204.545454545455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72</v>
      </c>
      <c r="D30" s="7" t="s">
        <v>40</v>
      </c>
      <c r="E30" s="9" t="n">
        <v>0.85</v>
      </c>
      <c r="F30" s="9" t="n">
        <f aca="false">C30*E30</f>
        <v>61.2</v>
      </c>
      <c r="G30" s="9" t="n">
        <f aca="false">E30*1.81818181818182</f>
        <v>1.54545454545455</v>
      </c>
      <c r="H30" s="9" t="n">
        <f aca="false">C30*G30</f>
        <v>111.272727272727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480</v>
      </c>
      <c r="D31" s="7" t="s">
        <v>40</v>
      </c>
      <c r="E31" s="9" t="n">
        <v>0.15</v>
      </c>
      <c r="F31" s="9" t="n">
        <f aca="false">C31*E31</f>
        <v>72</v>
      </c>
      <c r="G31" s="9" t="n">
        <f aca="false">E31*1.81818181818182</f>
        <v>0.272727272727273</v>
      </c>
      <c r="H31" s="9" t="n">
        <f aca="false">C31*G31</f>
        <v>130.909090909091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936</v>
      </c>
      <c r="D32" s="7" t="s">
        <v>40</v>
      </c>
      <c r="E32" s="9" t="n">
        <v>0.15</v>
      </c>
      <c r="F32" s="9" t="n">
        <f aca="false">C32*E32</f>
        <v>140.4</v>
      </c>
      <c r="G32" s="9" t="n">
        <f aca="false">E32*1.81818181818182</f>
        <v>0.272727272727273</v>
      </c>
      <c r="H32" s="9" t="n">
        <f aca="false">C32*G32</f>
        <v>255.272727272727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32</v>
      </c>
      <c r="D34" s="7" t="s">
        <v>76</v>
      </c>
      <c r="E34" s="9" t="n">
        <v>12</v>
      </c>
      <c r="F34" s="9" t="n">
        <f aca="false">C34*E34</f>
        <v>384</v>
      </c>
      <c r="G34" s="9" t="n">
        <f aca="false">E34*1.81818181818182</f>
        <v>21.8181818181818</v>
      </c>
      <c r="H34" s="9" t="n">
        <f aca="false">C34*G34</f>
        <v>698.181818181818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27263.2552812809</v>
      </c>
      <c r="H36" s="13" t="n">
        <f aca="false">SUM(H8:H35)</f>
        <v>49569.5550568743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108</v>
      </c>
      <c r="C8" s="8" t="n">
        <v>18</v>
      </c>
      <c r="D8" s="7" t="s">
        <v>40</v>
      </c>
      <c r="E8" s="9" t="n">
        <v>185</v>
      </c>
      <c r="F8" s="9" t="n">
        <f aca="false">C8*E8</f>
        <v>3330</v>
      </c>
      <c r="G8" s="9" t="n">
        <f aca="false">E8*1.81818181818182</f>
        <v>336.363636363636</v>
      </c>
      <c r="H8" s="9" t="n">
        <f aca="false">C8*G8</f>
        <v>6054.54545454546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20</v>
      </c>
      <c r="D9" s="7" t="s">
        <v>40</v>
      </c>
      <c r="E9" s="9" t="n">
        <v>275</v>
      </c>
      <c r="F9" s="9" t="n">
        <f aca="false">C9*E9</f>
        <v>5500</v>
      </c>
      <c r="G9" s="9" t="n">
        <f aca="false">E9*1.81818181818182</f>
        <v>500</v>
      </c>
      <c r="H9" s="9" t="n">
        <f aca="false">C9*G9</f>
        <v>10000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260</v>
      </c>
      <c r="D10" s="7" t="s">
        <v>43</v>
      </c>
      <c r="E10" s="9" t="n">
        <v>3</v>
      </c>
      <c r="F10" s="9" t="n">
        <f aca="false">C10*E10</f>
        <v>780</v>
      </c>
      <c r="G10" s="9" t="n">
        <f aca="false">E10*1.81818181818182</f>
        <v>5.45454545454545</v>
      </c>
      <c r="H10" s="9" t="n">
        <f aca="false">C10*G10</f>
        <v>1418.18181818182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18</v>
      </c>
      <c r="D12" s="7" t="s">
        <v>40</v>
      </c>
      <c r="E12" s="9" t="n">
        <v>26</v>
      </c>
      <c r="F12" s="9" t="n">
        <f aca="false">C12*E12</f>
        <v>468</v>
      </c>
      <c r="G12" s="9" t="n">
        <f aca="false">E12*1.81818181818182</f>
        <v>47.2727272727273</v>
      </c>
      <c r="H12" s="9" t="n">
        <f aca="false">C12*G12</f>
        <v>850.909090909091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960</v>
      </c>
      <c r="D13" s="7" t="s">
        <v>43</v>
      </c>
      <c r="E13" s="9" t="n">
        <v>4.5</v>
      </c>
      <c r="F13" s="9" t="n">
        <f aca="false">C13*E13</f>
        <v>4320</v>
      </c>
      <c r="G13" s="9" t="n">
        <f aca="false">E13*1.81818181818182</f>
        <v>8.18181818181818</v>
      </c>
      <c r="H13" s="9" t="n">
        <f aca="false">C13*G13</f>
        <v>7854.54545454545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780</v>
      </c>
      <c r="D14" s="7" t="s">
        <v>43</v>
      </c>
      <c r="E14" s="9" t="n">
        <v>3.5</v>
      </c>
      <c r="F14" s="9" t="n">
        <f aca="false">C14*E14</f>
        <v>2730</v>
      </c>
      <c r="G14" s="9" t="n">
        <f aca="false">E14*1.81818181818182</f>
        <v>6.36363636363636</v>
      </c>
      <c r="H14" s="9" t="n">
        <f aca="false">C14*G14</f>
        <v>4963.63636363636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8</v>
      </c>
      <c r="D15" s="7" t="s">
        <v>45</v>
      </c>
      <c r="E15" s="9" t="n">
        <v>8.5</v>
      </c>
      <c r="F15" s="9" t="n">
        <f aca="false">C15*E15</f>
        <v>68</v>
      </c>
      <c r="G15" s="9" t="n">
        <f aca="false">E15*1.81818181818182</f>
        <v>15.4545454545455</v>
      </c>
      <c r="H15" s="9" t="n">
        <f aca="false">C15*G15</f>
        <v>123.636363636364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54</v>
      </c>
      <c r="D16" s="7" t="s">
        <v>52</v>
      </c>
      <c r="E16" s="9" t="n">
        <v>72</v>
      </c>
      <c r="F16" s="9" t="n">
        <f aca="false">C16*E16</f>
        <v>3888</v>
      </c>
      <c r="G16" s="9" t="n">
        <f aca="false">E16*1.81818181818182</f>
        <v>130.909090909091</v>
      </c>
      <c r="H16" s="9" t="n">
        <f aca="false">C16*G16</f>
        <v>7069.09090909091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80</v>
      </c>
      <c r="D17" s="7" t="s">
        <v>43</v>
      </c>
      <c r="E17" s="9" t="n">
        <v>1.5</v>
      </c>
      <c r="F17" s="9" t="n">
        <f aca="false">C17*E17</f>
        <v>120</v>
      </c>
      <c r="G17" s="9" t="n">
        <f aca="false">E17*1.81818181818182</f>
        <v>2.72727272727273</v>
      </c>
      <c r="H17" s="9" t="n">
        <f aca="false">C17*G17</f>
        <v>218.181818181818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54</v>
      </c>
      <c r="D18" s="7" t="s">
        <v>40</v>
      </c>
      <c r="E18" s="9" t="n">
        <v>2</v>
      </c>
      <c r="F18" s="9" t="n">
        <f aca="false">C18*E18</f>
        <v>108</v>
      </c>
      <c r="G18" s="9" t="n">
        <f aca="false">E18*1.81818181818182</f>
        <v>3.63636363636364</v>
      </c>
      <c r="H18" s="9" t="n">
        <f aca="false">C18*G18</f>
        <v>196.363636363636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1080</v>
      </c>
      <c r="D19" s="7" t="s">
        <v>40</v>
      </c>
      <c r="E19" s="9" t="n">
        <v>0.18</v>
      </c>
      <c r="F19" s="9" t="n">
        <f aca="false">C19*E19</f>
        <v>194.4</v>
      </c>
      <c r="G19" s="9" t="n">
        <f aca="false">E19*1.81818181818182</f>
        <v>0.327272727272727</v>
      </c>
      <c r="H19" s="9" t="n">
        <f aca="false">C19*G19</f>
        <v>353.454545454545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87</v>
      </c>
      <c r="D20" s="7" t="s">
        <v>52</v>
      </c>
      <c r="E20" s="9" t="n">
        <v>49</v>
      </c>
      <c r="F20" s="9" t="n">
        <f aca="false">C20*E20</f>
        <v>4263</v>
      </c>
      <c r="G20" s="9" t="n">
        <f aca="false">E20*1.81818181818182</f>
        <v>89.0909090909091</v>
      </c>
      <c r="H20" s="9" t="n">
        <f aca="false">C20*G20</f>
        <v>7750.90909090909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34</v>
      </c>
      <c r="D21" s="7" t="s">
        <v>52</v>
      </c>
      <c r="E21" s="9" t="n">
        <v>18</v>
      </c>
      <c r="F21" s="9" t="n">
        <f aca="false">C21*E21</f>
        <v>612</v>
      </c>
      <c r="G21" s="9" t="n">
        <f aca="false">E21*1.81818181818182</f>
        <v>32.7272727272727</v>
      </c>
      <c r="H21" s="9" t="n">
        <f aca="false">C21*G21</f>
        <v>1112.72727272727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1820</v>
      </c>
      <c r="D22" s="7" t="s">
        <v>40</v>
      </c>
      <c r="E22" s="9" t="n">
        <v>0.16</v>
      </c>
      <c r="F22" s="9" t="n">
        <f aca="false">C22*E22</f>
        <v>291.2</v>
      </c>
      <c r="G22" s="9" t="n">
        <f aca="false">E22*1.81818181818182</f>
        <v>0.290909090909091</v>
      </c>
      <c r="H22" s="9" t="n">
        <f aca="false">C22*G22</f>
        <v>529.454545454545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12</v>
      </c>
      <c r="D23" s="7" t="s">
        <v>40</v>
      </c>
      <c r="E23" s="9" t="n">
        <v>2.5</v>
      </c>
      <c r="F23" s="9" t="n">
        <f aca="false">C23*E23</f>
        <v>30</v>
      </c>
      <c r="G23" s="9" t="n">
        <f aca="false">E23*1.81818181818182</f>
        <v>4.54545454545455</v>
      </c>
      <c r="H23" s="9" t="n">
        <f aca="false">C23*G23</f>
        <v>54.5454545454545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160</v>
      </c>
      <c r="D24" s="7" t="s">
        <v>43</v>
      </c>
      <c r="E24" s="9" t="n">
        <v>1.25</v>
      </c>
      <c r="F24" s="9" t="n">
        <f aca="false">C24*E24</f>
        <v>200</v>
      </c>
      <c r="G24" s="9" t="n">
        <f aca="false">E24*1.81818181818182</f>
        <v>2.27272727272727</v>
      </c>
      <c r="H24" s="9" t="n">
        <f aca="false">C24*G24</f>
        <v>363.636363636364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103.077640640442</v>
      </c>
      <c r="D25" s="7" t="s">
        <v>43</v>
      </c>
      <c r="E25" s="9" t="n">
        <v>1.5</v>
      </c>
      <c r="F25" s="9" t="n">
        <f aca="false">C25*E25</f>
        <v>154.616460960662</v>
      </c>
      <c r="G25" s="9" t="n">
        <f aca="false">E25*1.81818181818182</f>
        <v>2.72727272727273</v>
      </c>
      <c r="H25" s="9" t="n">
        <f aca="false">C25*G25</f>
        <v>281.120838110295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260</v>
      </c>
      <c r="D27" s="7" t="s">
        <v>43</v>
      </c>
      <c r="E27" s="9" t="n">
        <v>0.75</v>
      </c>
      <c r="F27" s="9" t="n">
        <f aca="false">C27*E27</f>
        <v>195</v>
      </c>
      <c r="G27" s="9" t="n">
        <f aca="false">E27*1.81818181818182</f>
        <v>1.36363636363636</v>
      </c>
      <c r="H27" s="9" t="n">
        <f aca="false">C27*G27</f>
        <v>354.545454545455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160</v>
      </c>
      <c r="D28" s="7" t="s">
        <v>43</v>
      </c>
      <c r="E28" s="9" t="n">
        <v>0.85</v>
      </c>
      <c r="F28" s="9" t="n">
        <f aca="false">C28*E28</f>
        <v>136</v>
      </c>
      <c r="G28" s="9" t="n">
        <f aca="false">E28*1.81818181818182</f>
        <v>1.54545454545455</v>
      </c>
      <c r="H28" s="9" t="n">
        <f aca="false">C28*G28</f>
        <v>247.272727272727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51.5388203202208</v>
      </c>
      <c r="D29" s="7" t="s">
        <v>43</v>
      </c>
      <c r="E29" s="9" t="n">
        <v>1</v>
      </c>
      <c r="F29" s="9" t="n">
        <f aca="false">C29*E29</f>
        <v>51.5388203202208</v>
      </c>
      <c r="G29" s="9" t="n">
        <f aca="false">E29*1.81818181818182</f>
        <v>1.81818181818182</v>
      </c>
      <c r="H29" s="9" t="n">
        <f aca="false">C29*G29</f>
        <v>93.706946036765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108</v>
      </c>
      <c r="D30" s="7" t="s">
        <v>40</v>
      </c>
      <c r="E30" s="9" t="n">
        <v>1.25</v>
      </c>
      <c r="F30" s="9" t="n">
        <f aca="false">C30*E30</f>
        <v>135</v>
      </c>
      <c r="G30" s="9" t="n">
        <f aca="false">E30*1.81818181818182</f>
        <v>2.27272727272727</v>
      </c>
      <c r="H30" s="9" t="n">
        <f aca="false">C30*G30</f>
        <v>245.454545454545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72</v>
      </c>
      <c r="D31" s="7" t="s">
        <v>40</v>
      </c>
      <c r="E31" s="9" t="n">
        <v>0.85</v>
      </c>
      <c r="F31" s="9" t="n">
        <f aca="false">C31*E31</f>
        <v>61.2</v>
      </c>
      <c r="G31" s="9" t="n">
        <f aca="false">E31*1.81818181818182</f>
        <v>1.54545454545455</v>
      </c>
      <c r="H31" s="9" t="n">
        <f aca="false">C31*G31</f>
        <v>111.272727272727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480</v>
      </c>
      <c r="D32" s="7" t="s">
        <v>40</v>
      </c>
      <c r="E32" s="9" t="n">
        <v>0.15</v>
      </c>
      <c r="F32" s="9" t="n">
        <f aca="false">C32*E32</f>
        <v>72</v>
      </c>
      <c r="G32" s="9" t="n">
        <f aca="false">E32*1.81818181818182</f>
        <v>0.272727272727273</v>
      </c>
      <c r="H32" s="9" t="n">
        <f aca="false">C32*G32</f>
        <v>130.909090909091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936</v>
      </c>
      <c r="D33" s="7" t="s">
        <v>40</v>
      </c>
      <c r="E33" s="9" t="n">
        <v>0.15</v>
      </c>
      <c r="F33" s="9" t="n">
        <f aca="false">C33*E33</f>
        <v>140.4</v>
      </c>
      <c r="G33" s="9" t="n">
        <f aca="false">E33*1.81818181818182</f>
        <v>0.272727272727273</v>
      </c>
      <c r="H33" s="9" t="n">
        <f aca="false">C33*G33</f>
        <v>255.272727272727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16</v>
      </c>
      <c r="D34" s="7" t="s">
        <v>40</v>
      </c>
      <c r="E34" s="9" t="n">
        <v>12</v>
      </c>
      <c r="F34" s="9" t="n">
        <f aca="false">C34*E34</f>
        <v>192</v>
      </c>
      <c r="G34" s="9" t="n">
        <f aca="false">E34*1.81818181818182</f>
        <v>21.8181818181818</v>
      </c>
      <c r="H34" s="9" t="n">
        <f aca="false">C34*G34</f>
        <v>349.090909090909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37</v>
      </c>
      <c r="D36" s="7" t="s">
        <v>76</v>
      </c>
      <c r="E36" s="9" t="n">
        <v>12</v>
      </c>
      <c r="F36" s="9" t="n">
        <f aca="false">C36*E36</f>
        <v>444</v>
      </c>
      <c r="G36" s="9" t="n">
        <f aca="false">E36*1.81818181818182</f>
        <v>21.8181818181818</v>
      </c>
      <c r="H36" s="9" t="n">
        <f aca="false">C36*G36</f>
        <v>807.272727272727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29082.3552812809</v>
      </c>
      <c r="H38" s="13" t="n">
        <f aca="false">SUM(H8:H37)</f>
        <v>52877.0096023289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109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110</v>
      </c>
      <c r="C8" s="8" t="n">
        <v>18</v>
      </c>
      <c r="D8" s="7" t="s">
        <v>40</v>
      </c>
      <c r="E8" s="9" t="n">
        <v>225</v>
      </c>
      <c r="F8" s="9" t="n">
        <f aca="false">C8*E8</f>
        <v>4050</v>
      </c>
      <c r="G8" s="9" t="n">
        <f aca="false">E8*1.81818181818182</f>
        <v>409.090909090909</v>
      </c>
      <c r="H8" s="9" t="n">
        <f aca="false">C8*G8</f>
        <v>7363.63636363636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20</v>
      </c>
      <c r="D9" s="7" t="s">
        <v>40</v>
      </c>
      <c r="E9" s="9" t="n">
        <v>316.25</v>
      </c>
      <c r="F9" s="9" t="n">
        <f aca="false">C9*E9</f>
        <v>6325</v>
      </c>
      <c r="G9" s="9" t="n">
        <f aca="false">E9*1.81818181818182</f>
        <v>575</v>
      </c>
      <c r="H9" s="9" t="n">
        <f aca="false">C9*G9</f>
        <v>11500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260</v>
      </c>
      <c r="D10" s="7" t="s">
        <v>43</v>
      </c>
      <c r="E10" s="9" t="n">
        <v>3.5</v>
      </c>
      <c r="F10" s="9" t="n">
        <f aca="false">C10*E10</f>
        <v>910</v>
      </c>
      <c r="G10" s="9" t="n">
        <f aca="false">E10*1.81818181818182</f>
        <v>6.36363636363636</v>
      </c>
      <c r="H10" s="9" t="n">
        <f aca="false">C10*G10</f>
        <v>1654.54545454545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18</v>
      </c>
      <c r="D13" s="7" t="s">
        <v>40</v>
      </c>
      <c r="E13" s="9" t="n">
        <v>32</v>
      </c>
      <c r="F13" s="9" t="n">
        <f aca="false">C13*E13</f>
        <v>576</v>
      </c>
      <c r="G13" s="9" t="n">
        <f aca="false">E13*1.81818181818182</f>
        <v>58.1818181818182</v>
      </c>
      <c r="H13" s="9" t="n">
        <f aca="false">C13*G13</f>
        <v>1047.27272727273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960</v>
      </c>
      <c r="D14" s="7" t="s">
        <v>43</v>
      </c>
      <c r="E14" s="9" t="n">
        <v>4.5</v>
      </c>
      <c r="F14" s="9" t="n">
        <f aca="false">C14*E14</f>
        <v>4320</v>
      </c>
      <c r="G14" s="9" t="n">
        <f aca="false">E14*1.81818181818182</f>
        <v>8.18181818181818</v>
      </c>
      <c r="H14" s="9" t="n">
        <f aca="false">C14*G14</f>
        <v>7854.54545454545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1040</v>
      </c>
      <c r="D15" s="7" t="s">
        <v>43</v>
      </c>
      <c r="E15" s="9" t="n">
        <v>4</v>
      </c>
      <c r="F15" s="9" t="n">
        <f aca="false">C15*E15</f>
        <v>4160</v>
      </c>
      <c r="G15" s="9" t="n">
        <f aca="false">E15*1.81818181818182</f>
        <v>7.27272727272727</v>
      </c>
      <c r="H15" s="9" t="n">
        <f aca="false">C15*G15</f>
        <v>7563.63636363636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16</v>
      </c>
      <c r="D16" s="7" t="s">
        <v>45</v>
      </c>
      <c r="E16" s="9" t="n">
        <v>8.5</v>
      </c>
      <c r="F16" s="9" t="n">
        <f aca="false">C16*E16</f>
        <v>136</v>
      </c>
      <c r="G16" s="9" t="n">
        <f aca="false">E16*1.81818181818182</f>
        <v>15.4545454545455</v>
      </c>
      <c r="H16" s="9" t="n">
        <f aca="false">C16*G16</f>
        <v>247.272727272727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54</v>
      </c>
      <c r="D17" s="7" t="s">
        <v>52</v>
      </c>
      <c r="E17" s="9" t="n">
        <v>72</v>
      </c>
      <c r="F17" s="9" t="n">
        <f aca="false">C17*E17</f>
        <v>3888</v>
      </c>
      <c r="G17" s="9" t="n">
        <f aca="false">E17*1.81818181818182</f>
        <v>130.909090909091</v>
      </c>
      <c r="H17" s="9" t="n">
        <f aca="false">C17*G17</f>
        <v>7069.09090909091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80</v>
      </c>
      <c r="D18" s="7" t="s">
        <v>43</v>
      </c>
      <c r="E18" s="9" t="n">
        <v>1.5</v>
      </c>
      <c r="F18" s="9" t="n">
        <f aca="false">C18*E18</f>
        <v>120</v>
      </c>
      <c r="G18" s="9" t="n">
        <f aca="false">E18*1.81818181818182</f>
        <v>2.72727272727273</v>
      </c>
      <c r="H18" s="9" t="n">
        <f aca="false">C18*G18</f>
        <v>218.181818181818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54</v>
      </c>
      <c r="D19" s="7" t="s">
        <v>40</v>
      </c>
      <c r="E19" s="9" t="n">
        <v>2</v>
      </c>
      <c r="F19" s="9" t="n">
        <f aca="false">C19*E19</f>
        <v>108</v>
      </c>
      <c r="G19" s="9" t="n">
        <f aca="false">E19*1.81818181818182</f>
        <v>3.63636363636364</v>
      </c>
      <c r="H19" s="9" t="n">
        <f aca="false">C19*G19</f>
        <v>196.363636363636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1080</v>
      </c>
      <c r="D20" s="7" t="s">
        <v>40</v>
      </c>
      <c r="E20" s="9" t="n">
        <v>0.18</v>
      </c>
      <c r="F20" s="9" t="n">
        <f aca="false">C20*E20</f>
        <v>194.4</v>
      </c>
      <c r="G20" s="9" t="n">
        <f aca="false">E20*1.81818181818182</f>
        <v>0.327272727272727</v>
      </c>
      <c r="H20" s="9" t="n">
        <f aca="false">C20*G20</f>
        <v>353.454545454545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87</v>
      </c>
      <c r="D21" s="7" t="s">
        <v>52</v>
      </c>
      <c r="E21" s="9" t="n">
        <v>56</v>
      </c>
      <c r="F21" s="9" t="n">
        <f aca="false">C21*E21</f>
        <v>4872</v>
      </c>
      <c r="G21" s="9" t="n">
        <f aca="false">E21*1.81818181818182</f>
        <v>101.818181818182</v>
      </c>
      <c r="H21" s="9" t="n">
        <f aca="false">C21*G21</f>
        <v>8858.18181818182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34</v>
      </c>
      <c r="D22" s="7" t="s">
        <v>52</v>
      </c>
      <c r="E22" s="9" t="n">
        <v>18</v>
      </c>
      <c r="F22" s="9" t="n">
        <f aca="false">C22*E22</f>
        <v>612</v>
      </c>
      <c r="G22" s="9" t="n">
        <f aca="false">E22*1.81818181818182</f>
        <v>32.7272727272727</v>
      </c>
      <c r="H22" s="9" t="n">
        <f aca="false">C22*G22</f>
        <v>1112.72727272727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2080</v>
      </c>
      <c r="D23" s="7" t="s">
        <v>40</v>
      </c>
      <c r="E23" s="9" t="n">
        <v>0.16</v>
      </c>
      <c r="F23" s="9" t="n">
        <f aca="false">C23*E23</f>
        <v>332.8</v>
      </c>
      <c r="G23" s="9" t="n">
        <f aca="false">E23*1.81818181818182</f>
        <v>0.290909090909091</v>
      </c>
      <c r="H23" s="9" t="n">
        <f aca="false">C23*G23</f>
        <v>605.090909090909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12</v>
      </c>
      <c r="D24" s="7" t="s">
        <v>40</v>
      </c>
      <c r="E24" s="9" t="n">
        <v>2.5</v>
      </c>
      <c r="F24" s="9" t="n">
        <f aca="false">C24*E24</f>
        <v>30</v>
      </c>
      <c r="G24" s="9" t="n">
        <f aca="false">E24*1.81818181818182</f>
        <v>4.54545454545455</v>
      </c>
      <c r="H24" s="9" t="n">
        <f aca="false">C24*G24</f>
        <v>54.5454545454545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160</v>
      </c>
      <c r="D25" s="7" t="s">
        <v>43</v>
      </c>
      <c r="E25" s="9" t="n">
        <v>1.25</v>
      </c>
      <c r="F25" s="9" t="n">
        <f aca="false">C25*E25</f>
        <v>200</v>
      </c>
      <c r="G25" s="9" t="n">
        <f aca="false">E25*1.81818181818182</f>
        <v>2.27272727272727</v>
      </c>
      <c r="H25" s="9" t="n">
        <f aca="false">C25*G25</f>
        <v>363.636363636364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103.077640640442</v>
      </c>
      <c r="D26" s="7" t="s">
        <v>43</v>
      </c>
      <c r="E26" s="9" t="n">
        <v>1.5</v>
      </c>
      <c r="F26" s="9" t="n">
        <f aca="false">C26*E26</f>
        <v>154.616460960662</v>
      </c>
      <c r="G26" s="9" t="n">
        <f aca="false">E26*1.81818181818182</f>
        <v>2.72727272727273</v>
      </c>
      <c r="H26" s="9" t="n">
        <f aca="false">C26*G26</f>
        <v>281.120838110295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260</v>
      </c>
      <c r="D28" s="7" t="s">
        <v>43</v>
      </c>
      <c r="E28" s="9" t="n">
        <v>0.75</v>
      </c>
      <c r="F28" s="9" t="n">
        <f aca="false">C28*E28</f>
        <v>195</v>
      </c>
      <c r="G28" s="9" t="n">
        <f aca="false">E28*1.81818181818182</f>
        <v>1.36363636363636</v>
      </c>
      <c r="H28" s="9" t="n">
        <f aca="false">C28*G28</f>
        <v>354.545454545455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160</v>
      </c>
      <c r="D29" s="7" t="s">
        <v>43</v>
      </c>
      <c r="E29" s="9" t="n">
        <v>0.85</v>
      </c>
      <c r="F29" s="9" t="n">
        <f aca="false">C29*E29</f>
        <v>136</v>
      </c>
      <c r="G29" s="9" t="n">
        <f aca="false">E29*1.81818181818182</f>
        <v>1.54545454545455</v>
      </c>
      <c r="H29" s="9" t="n">
        <f aca="false">C29*G29</f>
        <v>247.272727272727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51.5388203202208</v>
      </c>
      <c r="D30" s="7" t="s">
        <v>43</v>
      </c>
      <c r="E30" s="9" t="n">
        <v>1</v>
      </c>
      <c r="F30" s="9" t="n">
        <f aca="false">C30*E30</f>
        <v>51.5388203202208</v>
      </c>
      <c r="G30" s="9" t="n">
        <f aca="false">E30*1.81818181818182</f>
        <v>1.81818181818182</v>
      </c>
      <c r="H30" s="9" t="n">
        <f aca="false">C30*G30</f>
        <v>93.706946036765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144</v>
      </c>
      <c r="D31" s="7" t="s">
        <v>40</v>
      </c>
      <c r="E31" s="9" t="n">
        <v>1.25</v>
      </c>
      <c r="F31" s="9" t="n">
        <f aca="false">C31*E31</f>
        <v>180</v>
      </c>
      <c r="G31" s="9" t="n">
        <f aca="false">E31*1.81818181818182</f>
        <v>2.27272727272727</v>
      </c>
      <c r="H31" s="9" t="n">
        <f aca="false">C31*G31</f>
        <v>327.272727272727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108</v>
      </c>
      <c r="D32" s="7" t="s">
        <v>40</v>
      </c>
      <c r="E32" s="9" t="n">
        <v>0.85</v>
      </c>
      <c r="F32" s="9" t="n">
        <f aca="false">C32*E32</f>
        <v>91.8</v>
      </c>
      <c r="G32" s="9" t="n">
        <f aca="false">E32*1.81818181818182</f>
        <v>1.54545454545455</v>
      </c>
      <c r="H32" s="9" t="n">
        <f aca="false">C32*G32</f>
        <v>166.909090909091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480</v>
      </c>
      <c r="D33" s="7" t="s">
        <v>40</v>
      </c>
      <c r="E33" s="9" t="n">
        <v>0.15</v>
      </c>
      <c r="F33" s="9" t="n">
        <f aca="false">C33*E33</f>
        <v>72</v>
      </c>
      <c r="G33" s="9" t="n">
        <f aca="false">E33*1.81818181818182</f>
        <v>0.272727272727273</v>
      </c>
      <c r="H33" s="9" t="n">
        <f aca="false">C33*G33</f>
        <v>130.909090909091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1248</v>
      </c>
      <c r="D34" s="7" t="s">
        <v>40</v>
      </c>
      <c r="E34" s="9" t="n">
        <v>0.15</v>
      </c>
      <c r="F34" s="9" t="n">
        <f aca="false">C34*E34</f>
        <v>187.2</v>
      </c>
      <c r="G34" s="9" t="n">
        <f aca="false">E34*1.81818181818182</f>
        <v>0.272727272727273</v>
      </c>
      <c r="H34" s="9" t="n">
        <f aca="false">C34*G34</f>
        <v>340.363636363636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16</v>
      </c>
      <c r="D35" s="7" t="s">
        <v>40</v>
      </c>
      <c r="E35" s="9" t="n">
        <v>14</v>
      </c>
      <c r="F35" s="9" t="n">
        <f aca="false">C35*E35</f>
        <v>224</v>
      </c>
      <c r="G35" s="9" t="n">
        <f aca="false">E35*1.81818181818182</f>
        <v>25.4545454545455</v>
      </c>
      <c r="H35" s="9" t="n">
        <f aca="false">C35*G35</f>
        <v>407.272727272727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36</v>
      </c>
      <c r="D36" s="7" t="s">
        <v>40</v>
      </c>
      <c r="E36" s="9" t="n">
        <v>1.5</v>
      </c>
      <c r="F36" s="9" t="n">
        <f aca="false">C36*E36</f>
        <v>54</v>
      </c>
      <c r="G36" s="9" t="n">
        <f aca="false">E36*1.81818181818182</f>
        <v>2.72727272727273</v>
      </c>
      <c r="H36" s="9" t="n">
        <f aca="false">C36*G36</f>
        <v>98.1818181818182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42</v>
      </c>
      <c r="D38" s="7" t="s">
        <v>76</v>
      </c>
      <c r="E38" s="9" t="n">
        <v>12</v>
      </c>
      <c r="F38" s="9" t="n">
        <f aca="false">C38*E38</f>
        <v>504</v>
      </c>
      <c r="G38" s="9" t="n">
        <f aca="false">E38*1.81818181818182</f>
        <v>21.8181818181818</v>
      </c>
      <c r="H38" s="9" t="n">
        <f aca="false">C38*G38</f>
        <v>916.363636363636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33746.3552812809</v>
      </c>
      <c r="H40" s="13" t="n">
        <f aca="false">SUM(H8:H39)</f>
        <v>61357.0096023289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111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112</v>
      </c>
      <c r="C8" s="8" t="n">
        <v>18</v>
      </c>
      <c r="D8" s="7" t="s">
        <v>40</v>
      </c>
      <c r="E8" s="9" t="n">
        <v>310</v>
      </c>
      <c r="F8" s="9" t="n">
        <f aca="false">C8*E8</f>
        <v>5580</v>
      </c>
      <c r="G8" s="9" t="n">
        <f aca="false">E8*1.81818181818182</f>
        <v>563.636363636364</v>
      </c>
      <c r="H8" s="9" t="n">
        <f aca="false">C8*G8</f>
        <v>10145.4545454545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20</v>
      </c>
      <c r="D9" s="7" t="s">
        <v>40</v>
      </c>
      <c r="E9" s="9" t="n">
        <v>357.5</v>
      </c>
      <c r="F9" s="9" t="n">
        <f aca="false">C9*E9</f>
        <v>7150</v>
      </c>
      <c r="G9" s="9" t="n">
        <f aca="false">E9*1.81818181818182</f>
        <v>650</v>
      </c>
      <c r="H9" s="9" t="n">
        <f aca="false">C9*G9</f>
        <v>13000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260</v>
      </c>
      <c r="D10" s="7" t="s">
        <v>43</v>
      </c>
      <c r="E10" s="9" t="n">
        <v>4.25</v>
      </c>
      <c r="F10" s="9" t="n">
        <f aca="false">C10*E10</f>
        <v>1105</v>
      </c>
      <c r="G10" s="9" t="n">
        <f aca="false">E10*1.81818181818182</f>
        <v>7.72727272727273</v>
      </c>
      <c r="H10" s="9" t="n">
        <f aca="false">C10*G10</f>
        <v>2009.09090909091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18</v>
      </c>
      <c r="D13" s="7" t="s">
        <v>40</v>
      </c>
      <c r="E13" s="9" t="n">
        <v>45</v>
      </c>
      <c r="F13" s="9" t="n">
        <f aca="false">C13*E13</f>
        <v>810</v>
      </c>
      <c r="G13" s="9" t="n">
        <f aca="false">E13*1.81818181818182</f>
        <v>81.8181818181818</v>
      </c>
      <c r="H13" s="9" t="n">
        <f aca="false">C13*G13</f>
        <v>1472.72727272727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960</v>
      </c>
      <c r="D14" s="7" t="s">
        <v>43</v>
      </c>
      <c r="E14" s="9" t="n">
        <v>4.5</v>
      </c>
      <c r="F14" s="9" t="n">
        <f aca="false">C14*E14</f>
        <v>4320</v>
      </c>
      <c r="G14" s="9" t="n">
        <f aca="false">E14*1.81818181818182</f>
        <v>8.18181818181818</v>
      </c>
      <c r="H14" s="9" t="n">
        <f aca="false">C14*G14</f>
        <v>7854.54545454545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1040</v>
      </c>
      <c r="D15" s="7" t="s">
        <v>43</v>
      </c>
      <c r="E15" s="9" t="n">
        <v>4.25</v>
      </c>
      <c r="F15" s="9" t="n">
        <f aca="false">C15*E15</f>
        <v>4420</v>
      </c>
      <c r="G15" s="9" t="n">
        <f aca="false">E15*1.81818181818182</f>
        <v>7.72727272727273</v>
      </c>
      <c r="H15" s="9" t="n">
        <f aca="false">C15*G15</f>
        <v>8036.36363636364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24</v>
      </c>
      <c r="D16" s="7" t="s">
        <v>45</v>
      </c>
      <c r="E16" s="9" t="n">
        <v>8.5</v>
      </c>
      <c r="F16" s="9" t="n">
        <f aca="false">C16*E16</f>
        <v>204</v>
      </c>
      <c r="G16" s="9" t="n">
        <f aca="false">E16*1.81818181818182</f>
        <v>15.4545454545455</v>
      </c>
      <c r="H16" s="9" t="n">
        <f aca="false">C16*G16</f>
        <v>370.909090909091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54</v>
      </c>
      <c r="D17" s="7" t="s">
        <v>52</v>
      </c>
      <c r="E17" s="9" t="n">
        <v>72</v>
      </c>
      <c r="F17" s="9" t="n">
        <f aca="false">C17*E17</f>
        <v>3888</v>
      </c>
      <c r="G17" s="9" t="n">
        <f aca="false">E17*1.81818181818182</f>
        <v>130.909090909091</v>
      </c>
      <c r="H17" s="9" t="n">
        <f aca="false">C17*G17</f>
        <v>7069.09090909091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80</v>
      </c>
      <c r="D18" s="7" t="s">
        <v>43</v>
      </c>
      <c r="E18" s="9" t="n">
        <v>1.5</v>
      </c>
      <c r="F18" s="9" t="n">
        <f aca="false">C18*E18</f>
        <v>120</v>
      </c>
      <c r="G18" s="9" t="n">
        <f aca="false">E18*1.81818181818182</f>
        <v>2.72727272727273</v>
      </c>
      <c r="H18" s="9" t="n">
        <f aca="false">C18*G18</f>
        <v>218.181818181818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54</v>
      </c>
      <c r="D19" s="7" t="s">
        <v>40</v>
      </c>
      <c r="E19" s="9" t="n">
        <v>2</v>
      </c>
      <c r="F19" s="9" t="n">
        <f aca="false">C19*E19</f>
        <v>108</v>
      </c>
      <c r="G19" s="9" t="n">
        <f aca="false">E19*1.81818181818182</f>
        <v>3.63636363636364</v>
      </c>
      <c r="H19" s="9" t="n">
        <f aca="false">C19*G19</f>
        <v>196.363636363636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1080</v>
      </c>
      <c r="D20" s="7" t="s">
        <v>40</v>
      </c>
      <c r="E20" s="9" t="n">
        <v>0.18</v>
      </c>
      <c r="F20" s="9" t="n">
        <f aca="false">C20*E20</f>
        <v>194.4</v>
      </c>
      <c r="G20" s="9" t="n">
        <f aca="false">E20*1.81818181818182</f>
        <v>0.327272727272727</v>
      </c>
      <c r="H20" s="9" t="n">
        <f aca="false">C20*G20</f>
        <v>353.454545454545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87</v>
      </c>
      <c r="D21" s="7" t="s">
        <v>52</v>
      </c>
      <c r="E21" s="9" t="n">
        <v>70</v>
      </c>
      <c r="F21" s="9" t="n">
        <f aca="false">C21*E21</f>
        <v>6090</v>
      </c>
      <c r="G21" s="9" t="n">
        <f aca="false">E21*1.81818181818182</f>
        <v>127.272727272727</v>
      </c>
      <c r="H21" s="9" t="n">
        <f aca="false">C21*G21</f>
        <v>11072.7272727273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34</v>
      </c>
      <c r="D22" s="7" t="s">
        <v>52</v>
      </c>
      <c r="E22" s="9" t="n">
        <v>18</v>
      </c>
      <c r="F22" s="9" t="n">
        <f aca="false">C22*E22</f>
        <v>612</v>
      </c>
      <c r="G22" s="9" t="n">
        <f aca="false">E22*1.81818181818182</f>
        <v>32.7272727272727</v>
      </c>
      <c r="H22" s="9" t="n">
        <f aca="false">C22*G22</f>
        <v>1112.72727272727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2600</v>
      </c>
      <c r="D23" s="7" t="s">
        <v>40</v>
      </c>
      <c r="E23" s="9" t="n">
        <v>0.16</v>
      </c>
      <c r="F23" s="9" t="n">
        <f aca="false">C23*E23</f>
        <v>416</v>
      </c>
      <c r="G23" s="9" t="n">
        <f aca="false">E23*1.81818181818182</f>
        <v>0.290909090909091</v>
      </c>
      <c r="H23" s="9" t="n">
        <f aca="false">C23*G23</f>
        <v>756.363636363636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12</v>
      </c>
      <c r="D24" s="7" t="s">
        <v>40</v>
      </c>
      <c r="E24" s="9" t="n">
        <v>2.5</v>
      </c>
      <c r="F24" s="9" t="n">
        <f aca="false">C24*E24</f>
        <v>30</v>
      </c>
      <c r="G24" s="9" t="n">
        <f aca="false">E24*1.81818181818182</f>
        <v>4.54545454545455</v>
      </c>
      <c r="H24" s="9" t="n">
        <f aca="false">C24*G24</f>
        <v>54.5454545454545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160</v>
      </c>
      <c r="D25" s="7" t="s">
        <v>43</v>
      </c>
      <c r="E25" s="9" t="n">
        <v>1.25</v>
      </c>
      <c r="F25" s="9" t="n">
        <f aca="false">C25*E25</f>
        <v>200</v>
      </c>
      <c r="G25" s="9" t="n">
        <f aca="false">E25*1.81818181818182</f>
        <v>2.27272727272727</v>
      </c>
      <c r="H25" s="9" t="n">
        <f aca="false">C25*G25</f>
        <v>363.636363636364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103.077640640442</v>
      </c>
      <c r="D26" s="7" t="s">
        <v>43</v>
      </c>
      <c r="E26" s="9" t="n">
        <v>1.5</v>
      </c>
      <c r="F26" s="9" t="n">
        <f aca="false">C26*E26</f>
        <v>154.616460960662</v>
      </c>
      <c r="G26" s="9" t="n">
        <f aca="false">E26*1.81818181818182</f>
        <v>2.72727272727273</v>
      </c>
      <c r="H26" s="9" t="n">
        <f aca="false">C26*G26</f>
        <v>281.120838110295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260</v>
      </c>
      <c r="D28" s="7" t="s">
        <v>43</v>
      </c>
      <c r="E28" s="9" t="n">
        <v>0.75</v>
      </c>
      <c r="F28" s="9" t="n">
        <f aca="false">C28*E28</f>
        <v>195</v>
      </c>
      <c r="G28" s="9" t="n">
        <f aca="false">E28*1.81818181818182</f>
        <v>1.36363636363636</v>
      </c>
      <c r="H28" s="9" t="n">
        <f aca="false">C28*G28</f>
        <v>354.545454545455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160</v>
      </c>
      <c r="D29" s="7" t="s">
        <v>43</v>
      </c>
      <c r="E29" s="9" t="n">
        <v>0.85</v>
      </c>
      <c r="F29" s="9" t="n">
        <f aca="false">C29*E29</f>
        <v>136</v>
      </c>
      <c r="G29" s="9" t="n">
        <f aca="false">E29*1.81818181818182</f>
        <v>1.54545454545455</v>
      </c>
      <c r="H29" s="9" t="n">
        <f aca="false">C29*G29</f>
        <v>247.272727272727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51.5388203202208</v>
      </c>
      <c r="D30" s="7" t="s">
        <v>43</v>
      </c>
      <c r="E30" s="9" t="n">
        <v>1</v>
      </c>
      <c r="F30" s="9" t="n">
        <f aca="false">C30*E30</f>
        <v>51.5388203202208</v>
      </c>
      <c r="G30" s="9" t="n">
        <f aca="false">E30*1.81818181818182</f>
        <v>1.81818181818182</v>
      </c>
      <c r="H30" s="9" t="n">
        <f aca="false">C30*G30</f>
        <v>93.706946036765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180</v>
      </c>
      <c r="D31" s="7" t="s">
        <v>40</v>
      </c>
      <c r="E31" s="9" t="n">
        <v>1.25</v>
      </c>
      <c r="F31" s="9" t="n">
        <f aca="false">C31*E31</f>
        <v>225</v>
      </c>
      <c r="G31" s="9" t="n">
        <f aca="false">E31*1.81818181818182</f>
        <v>2.27272727272727</v>
      </c>
      <c r="H31" s="9" t="n">
        <f aca="false">C31*G31</f>
        <v>409.090909090909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108</v>
      </c>
      <c r="D32" s="7" t="s">
        <v>40</v>
      </c>
      <c r="E32" s="9" t="n">
        <v>0.85</v>
      </c>
      <c r="F32" s="9" t="n">
        <f aca="false">C32*E32</f>
        <v>91.8</v>
      </c>
      <c r="G32" s="9" t="n">
        <f aca="false">E32*1.81818181818182</f>
        <v>1.54545454545455</v>
      </c>
      <c r="H32" s="9" t="n">
        <f aca="false">C32*G32</f>
        <v>166.909090909091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480</v>
      </c>
      <c r="D33" s="7" t="s">
        <v>40</v>
      </c>
      <c r="E33" s="9" t="n">
        <v>0.15</v>
      </c>
      <c r="F33" s="9" t="n">
        <f aca="false">C33*E33</f>
        <v>72</v>
      </c>
      <c r="G33" s="9" t="n">
        <f aca="false">E33*1.81818181818182</f>
        <v>0.272727272727273</v>
      </c>
      <c r="H33" s="9" t="n">
        <f aca="false">C33*G33</f>
        <v>130.909090909091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1248</v>
      </c>
      <c r="D34" s="7" t="s">
        <v>40</v>
      </c>
      <c r="E34" s="9" t="n">
        <v>0.15</v>
      </c>
      <c r="F34" s="9" t="n">
        <f aca="false">C34*E34</f>
        <v>187.2</v>
      </c>
      <c r="G34" s="9" t="n">
        <f aca="false">E34*1.81818181818182</f>
        <v>0.272727272727273</v>
      </c>
      <c r="H34" s="9" t="n">
        <f aca="false">C34*G34</f>
        <v>340.363636363636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32</v>
      </c>
      <c r="D35" s="7" t="s">
        <v>40</v>
      </c>
      <c r="E35" s="9" t="n">
        <v>16</v>
      </c>
      <c r="F35" s="9" t="n">
        <f aca="false">C35*E35</f>
        <v>512</v>
      </c>
      <c r="G35" s="9" t="n">
        <f aca="false">E35*1.81818181818182</f>
        <v>29.0909090909091</v>
      </c>
      <c r="H35" s="9" t="n">
        <f aca="false">C35*G35</f>
        <v>930.909090909091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72</v>
      </c>
      <c r="D36" s="7" t="s">
        <v>40</v>
      </c>
      <c r="E36" s="9" t="n">
        <v>1.5</v>
      </c>
      <c r="F36" s="9" t="n">
        <f aca="false">C36*E36</f>
        <v>108</v>
      </c>
      <c r="G36" s="9" t="n">
        <f aca="false">E36*1.81818181818182</f>
        <v>2.72727272727273</v>
      </c>
      <c r="H36" s="9" t="n">
        <f aca="false">C36*G36</f>
        <v>196.363636363636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52</v>
      </c>
      <c r="D38" s="7" t="s">
        <v>76</v>
      </c>
      <c r="E38" s="9" t="n">
        <v>12</v>
      </c>
      <c r="F38" s="9" t="n">
        <f aca="false">C38*E38</f>
        <v>624</v>
      </c>
      <c r="G38" s="9" t="n">
        <f aca="false">E38*1.81818181818182</f>
        <v>21.8181818181818</v>
      </c>
      <c r="H38" s="9" t="n">
        <f aca="false">C38*G38</f>
        <v>1134.54545454545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39269.5552812809</v>
      </c>
      <c r="H40" s="13" t="n">
        <f aca="false">SUM(H8:H39)</f>
        <v>71399.1914205107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2026-02-15T01:49:03Z</dcterms:created>
  <dc:creator>openpyxl</dc:creator>
  <dc:description/>
  <dc:language>en-US</dc:language>
  <cp:lastModifiedBy/>
  <dcterms:modified xsi:type="dcterms:W3CDTF">2026-02-15T01:49:03Z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