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<sst xmlns="http://schemas.openxmlformats.org/spreadsheetml/2006/main" count="1087" uniqueCount="113">
  <si>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- 30x40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</si>
  <si>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</si>
  <si>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</si>
  <si>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</si>
  <si>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</si>
  <si>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</si>
  <si>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</si>
  <si>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</si>
  <si>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</si>
  <si>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</si>
  <si>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</si>
  <si>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</si>
  <si>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</si>
  <si>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</si>
  <si>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</si>
  <si>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</si>
  <si>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</si>
  <si>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</si>
  <si>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</si>
  <si>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</si>
  <si>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</si>
  <si>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</si>
  <si>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</si>
  <si>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</si>
  <si>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- 30x40 - PB 10ft</t>
  </si>
  <si>
    <t xml:space="preserve">Building Size: 30x40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</si>
  <si>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</si>
  <si>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</si>
  <si>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</si>
  <si>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</si>
  <si>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</si>
  <si>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</si>
  <si>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</si>
  <si>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</si>
  <si>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</si>
  <si>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</si>
  <si>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</si>
  <si>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</si>
  <si>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</si>
  <si>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</si>
  <si>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</si>
  <si>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30'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</si>
  <si>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</si>
  <si>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</si>
  <si>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</si>
  <si>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</si>
  <si>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10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</si>
  <si>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</si>
  <si>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</si>
  <si>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</si>
  <si>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</si>
  <si>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</si>
  <si>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</si>
  <si>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</si>
  <si>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</si>
  <si>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</si>
  <si>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</si>
  <si>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</si>
  <si>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</si>
  <si>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</si>
  <si>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</si>
  <si>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</si>
  <si>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</si>
  <si>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</si>
  <si>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</si>
  <si>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</si>
  <si>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</si>
  <si>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</si>
  <si>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</si>
  <si>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</si>
  <si>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</si>
  <si>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</si>
  <si>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</si>
  <si>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</si>
  <si>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</si>
  <si>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</si>
  <si>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</si>
  <si>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</si>
  <si>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</si>
  <si>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</si>
  <si>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- 30x40 -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</si>
  <si>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</si>
  <si>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</si>
  <si>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</si>
  <si>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- 30x40 -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</si>
  <si>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</si>
  <si>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</si>
  <si>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</si>
  <si>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</si>
  <si>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</si>
  <si>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- 30x40 -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</si>
  <si>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</si>
  <si>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</si>
  <si>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</si>
  <si>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</si>
  <si>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</si>
  <si>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</si>
  <si>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- 30x40 -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</si>
  <si>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</si>
  <si>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</si>
  <si>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</si>
  <si>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- 30x40 - IB 10ft</t>
  </si>
  <si>
    <t xml:space="preserve">Building Type: I-Beam</t>
  </si>
  <si>
    <t xml:space="preserve">I-Beam Columns, 10' tall, mounted to slab</t>
  </si>
  <si>
    <t xml:space="preserve">I-Beam Rafters, 30' span, 3:12 pitch (incl. height reinforcement)</t>
  </si>
  <si>
    <t xml:space="preserve">Metal Building BOM - 30x40 - IB 12ft</t>
  </si>
  <si>
    <t xml:space="preserve">I-Beam Columns, 12' tall, mounted to slab</t>
  </si>
  <si>
    <t xml:space="preserve">Metal Building BOM - 30x40 - IB 14ft</t>
  </si>
  <si>
    <t xml:space="preserve">I-Beam Columns, 14' tall, mounted to slab</t>
  </si>
  <si>
    <t xml:space="preserve">Metal Building BOM - 30x40 - IB 16ft</t>
  </si>
  <si>
    <t xml:space="preserve">I-Beam Columns, 16' tall, mounted to slab</t>
  </si>
  <si>
    <t xml:space="preserve">Metal Building BOM - 30x40 -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</si>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</sst>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10381.8931687685</v>
      </c>
      <c r="E4" s="3" t="n">
        <f aca="false">SUMIF('PB 10ft'!A:A,"&lt;&gt;TOTALS",'PB 10ft'!H:H)</f>
        <v>18876.169397761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11535.9931687685</v>
      </c>
      <c r="E5" s="3" t="n">
        <f aca="false">SUMIF('PB 12ft'!A:A,"&lt;&gt;TOTALS",'PB 12ft'!H:H)</f>
        <v>20974.5330341246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12320.0531687685</v>
      </c>
      <c r="E6" s="3" t="n">
        <f aca="false">SUMIF('PB 14ft'!A:A,"&lt;&gt;TOTALS",'PB 14ft'!H:H)</f>
        <v>22400.0966704882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14713.4931687685</v>
      </c>
      <c r="E7" s="3" t="n">
        <f aca="false">SUMIF('PB 16ft'!A:A,"&lt;&gt;TOTALS",'PB 16ft'!H:H)</f>
        <v>26751.8057613973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17292.2931687685</v>
      </c>
      <c r="E8" s="3" t="n">
        <f aca="false">SUMIF('PB 20ft'!A:A,"&lt;&gt;TOTALS",'PB 20ft'!H:H)</f>
        <v>31440.5330341246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10191.8931687685</v>
      </c>
      <c r="E9" s="3" t="n">
        <f aca="false">SUMIF('IB 10ft'!A:A,"&lt;&gt;TOTALS",'IB 10ft'!H:H)</f>
        <v>18530.7148523064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11525.9931687685</v>
      </c>
      <c r="E10" s="3" t="n">
        <f aca="false">SUMIF('IB 12ft'!A:A,"&lt;&gt;TOTALS",'IB 12ft'!H:H)</f>
        <v>20956.3512159428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12540.0531687685</v>
      </c>
      <c r="E11" s="3" t="n">
        <f aca="false">SUMIF('IB 14ft'!A:A,"&lt;&gt;TOTALS",'IB 14ft'!H:H)</f>
        <v>22800.0966704882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15055.9931687685</v>
      </c>
      <c r="E12" s="3" t="n">
        <f aca="false">SUMIF('IB 16ft'!A:A,"&lt;&gt;TOTALS",'IB 16ft'!H:H)</f>
        <v>27374.5330341246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18097.2931687685</v>
      </c>
      <c r="E13" s="3" t="n">
        <f aca="false">SUMIF('IB 20ft'!A:A,"&lt;&gt;TOTALS",'IB 20ft'!H:H)</f>
        <v>32904.169397761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10</v>
      </c>
      <c r="D8" s="7" t="s">
        <v>40</v>
      </c>
      <c r="E8" s="9" t="n">
        <v>45</v>
      </c>
      <c r="F8" s="9" t="n">
        <f aca="false">C8*E8</f>
        <v>450</v>
      </c>
      <c r="G8" s="9" t="n">
        <f aca="false">E8*1.81818181818182</f>
        <v>81.8181818181818</v>
      </c>
      <c r="H8" s="9" t="n">
        <f aca="false">C8*G8</f>
        <v>818.181818181818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250</v>
      </c>
      <c r="F9" s="9" t="n">
        <f aca="false">C9*E9</f>
        <v>2500</v>
      </c>
      <c r="G9" s="9" t="n">
        <f aca="false">E9*1.81818181818182</f>
        <v>454.545454545455</v>
      </c>
      <c r="H9" s="9" t="n">
        <f aca="false">C9*G9</f>
        <v>4545.45454545455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2.5</v>
      </c>
      <c r="F10" s="9" t="n">
        <f aca="false">C10*E10</f>
        <v>350</v>
      </c>
      <c r="G10" s="9" t="n">
        <f aca="false">E10*1.81818181818182</f>
        <v>4.54545454545455</v>
      </c>
      <c r="H10" s="9" t="n">
        <f aca="false">C10*G10</f>
        <v>636.363636363636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12</v>
      </c>
      <c r="F12" s="9" t="n">
        <f aca="false">C12*E12</f>
        <v>120</v>
      </c>
      <c r="G12" s="9" t="n">
        <f aca="false">E12*1.81818181818182</f>
        <v>21.8181818181818</v>
      </c>
      <c r="H12" s="9" t="n">
        <f aca="false">C12*G12</f>
        <v>218.181818181818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280</v>
      </c>
      <c r="D14" s="7" t="s">
        <v>43</v>
      </c>
      <c r="E14" s="9" t="n">
        <v>3.5</v>
      </c>
      <c r="F14" s="9" t="n">
        <f aca="false">C14*E14</f>
        <v>980</v>
      </c>
      <c r="G14" s="9" t="n">
        <f aca="false">E14*1.81818181818182</f>
        <v>6.36363636363636</v>
      </c>
      <c r="H14" s="9" t="n">
        <f aca="false">C14*G14</f>
        <v>1781.81818181818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45</v>
      </c>
      <c r="F15" s="9" t="n">
        <f aca="false">C15*E15</f>
        <v>1260</v>
      </c>
      <c r="G15" s="9" t="n">
        <f aca="false">E15*1.81818181818182</f>
        <v>81.8181818181818</v>
      </c>
      <c r="H15" s="9" t="n">
        <f aca="false">C15*G15</f>
        <v>2290.90909090909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47</v>
      </c>
      <c r="D19" s="7" t="s">
        <v>52</v>
      </c>
      <c r="E19" s="9" t="n">
        <v>35</v>
      </c>
      <c r="F19" s="9" t="n">
        <f aca="false">C19*E19</f>
        <v>1645</v>
      </c>
      <c r="G19" s="9" t="n">
        <f aca="false">E19*1.81818181818182</f>
        <v>63.6363636363636</v>
      </c>
      <c r="H19" s="9" t="n">
        <f aca="false">C19*G19</f>
        <v>2990.90909090909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700</v>
      </c>
      <c r="D21" s="7" t="s">
        <v>40</v>
      </c>
      <c r="E21" s="9" t="n">
        <v>0.16</v>
      </c>
      <c r="F21" s="9" t="n">
        <f aca="false">C21*E21</f>
        <v>112</v>
      </c>
      <c r="G21" s="9" t="n">
        <f aca="false">E21*1.81818181818182</f>
        <v>0.290909090909091</v>
      </c>
      <c r="H21" s="9" t="n">
        <f aca="false">C21*G21</f>
        <v>203.636363636364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140</v>
      </c>
      <c r="D26" s="7" t="s">
        <v>43</v>
      </c>
      <c r="E26" s="9" t="n">
        <v>0.75</v>
      </c>
      <c r="F26" s="9" t="n">
        <f aca="false">C26*E26</f>
        <v>105</v>
      </c>
      <c r="G26" s="9" t="n">
        <f aca="false">E26*1.81818181818182</f>
        <v>1.36363636363636</v>
      </c>
      <c r="H26" s="9" t="n">
        <f aca="false">C26*G26</f>
        <v>190.909090909091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40</v>
      </c>
      <c r="D29" s="7" t="s">
        <v>40</v>
      </c>
      <c r="E29" s="9" t="n">
        <v>1.25</v>
      </c>
      <c r="F29" s="9" t="n">
        <f aca="false">C29*E29</f>
        <v>50</v>
      </c>
      <c r="G29" s="9" t="n">
        <f aca="false">E29*1.81818181818182</f>
        <v>2.27272727272727</v>
      </c>
      <c r="H29" s="9" t="n">
        <f aca="false">C29*G29</f>
        <v>90.9090909090909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160</v>
      </c>
      <c r="D31" s="7" t="s">
        <v>40</v>
      </c>
      <c r="E31" s="9" t="n">
        <v>0.15</v>
      </c>
      <c r="F31" s="9" t="n">
        <f aca="false">C31*E31</f>
        <v>24</v>
      </c>
      <c r="G31" s="9" t="n">
        <f aca="false">E31*1.81818181818182</f>
        <v>0.272727272727273</v>
      </c>
      <c r="H31" s="9" t="n">
        <f aca="false">C31*G31</f>
        <v>43.6363636363636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336</v>
      </c>
      <c r="D32" s="7" t="s">
        <v>40</v>
      </c>
      <c r="E32" s="9" t="n">
        <v>0.15</v>
      </c>
      <c r="F32" s="9" t="n">
        <f aca="false">C32*E32</f>
        <v>50.4</v>
      </c>
      <c r="G32" s="9" t="n">
        <f aca="false">E32*1.81818181818182</f>
        <v>0.272727272727273</v>
      </c>
      <c r="H32" s="9" t="n">
        <f aca="false">C32*G32</f>
        <v>91.6363636363636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14</v>
      </c>
      <c r="D34" s="7" t="s">
        <v>76</v>
      </c>
      <c r="E34" s="9" t="n">
        <v>12</v>
      </c>
      <c r="F34" s="9" t="n">
        <f aca="false">C34*E34</f>
        <v>168</v>
      </c>
      <c r="G34" s="9" t="n">
        <f aca="false">E34*1.81818181818182</f>
        <v>21.8181818181818</v>
      </c>
      <c r="H34" s="9" t="n">
        <f aca="false">C34*G34</f>
        <v>305.454545454545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10381.8931687685</v>
      </c>
      <c r="H36" s="13" t="n">
        <f aca="false">SUM(H8:H35)</f>
        <v>18876.169397761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10</v>
      </c>
      <c r="D8" s="7" t="s">
        <v>40</v>
      </c>
      <c r="E8" s="9" t="n">
        <v>54</v>
      </c>
      <c r="F8" s="9" t="n">
        <f aca="false">C8*E8</f>
        <v>540</v>
      </c>
      <c r="G8" s="9" t="n">
        <f aca="false">E8*1.81818181818182</f>
        <v>98.1818181818182</v>
      </c>
      <c r="H8" s="9" t="n">
        <f aca="false">C8*G8</f>
        <v>981.818181818182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250</v>
      </c>
      <c r="F9" s="9" t="n">
        <f aca="false">C9*E9</f>
        <v>2500</v>
      </c>
      <c r="G9" s="9" t="n">
        <f aca="false">E9*1.81818181818182</f>
        <v>454.545454545455</v>
      </c>
      <c r="H9" s="9" t="n">
        <f aca="false">C9*G9</f>
        <v>4545.45454545455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2.75</v>
      </c>
      <c r="F10" s="9" t="n">
        <f aca="false">C10*E10</f>
        <v>385</v>
      </c>
      <c r="G10" s="9" t="n">
        <f aca="false">E10*1.81818181818182</f>
        <v>5</v>
      </c>
      <c r="H10" s="9" t="n">
        <f aca="false">C10*G10</f>
        <v>700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14</v>
      </c>
      <c r="F12" s="9" t="n">
        <f aca="false">C12*E12</f>
        <v>140</v>
      </c>
      <c r="G12" s="9" t="n">
        <f aca="false">E12*1.81818181818182</f>
        <v>25.4545454545455</v>
      </c>
      <c r="H12" s="9" t="n">
        <f aca="false">C12*G12</f>
        <v>254.545454545455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420</v>
      </c>
      <c r="D14" s="7" t="s">
        <v>43</v>
      </c>
      <c r="E14" s="9" t="n">
        <v>3.5</v>
      </c>
      <c r="F14" s="9" t="n">
        <f aca="false">C14*E14</f>
        <v>1470</v>
      </c>
      <c r="G14" s="9" t="n">
        <f aca="false">E14*1.81818181818182</f>
        <v>6.36363636363636</v>
      </c>
      <c r="H14" s="9" t="n">
        <f aca="false">C14*G14</f>
        <v>2672.72727272727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45</v>
      </c>
      <c r="F15" s="9" t="n">
        <f aca="false">C15*E15</f>
        <v>1260</v>
      </c>
      <c r="G15" s="9" t="n">
        <f aca="false">E15*1.81818181818182</f>
        <v>81.8181818181818</v>
      </c>
      <c r="H15" s="9" t="n">
        <f aca="false">C15*G15</f>
        <v>2290.90909090909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47</v>
      </c>
      <c r="D19" s="7" t="s">
        <v>52</v>
      </c>
      <c r="E19" s="9" t="n">
        <v>42</v>
      </c>
      <c r="F19" s="9" t="n">
        <f aca="false">C19*E19</f>
        <v>1974</v>
      </c>
      <c r="G19" s="9" t="n">
        <f aca="false">E19*1.81818181818182</f>
        <v>76.3636363636364</v>
      </c>
      <c r="H19" s="9" t="n">
        <f aca="false">C19*G19</f>
        <v>3589.09090909091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840</v>
      </c>
      <c r="D21" s="7" t="s">
        <v>40</v>
      </c>
      <c r="E21" s="9" t="n">
        <v>0.16</v>
      </c>
      <c r="F21" s="9" t="n">
        <f aca="false">C21*E21</f>
        <v>134.4</v>
      </c>
      <c r="G21" s="9" t="n">
        <f aca="false">E21*1.81818181818182</f>
        <v>0.290909090909091</v>
      </c>
      <c r="H21" s="9" t="n">
        <f aca="false">C21*G21</f>
        <v>244.363636363636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140</v>
      </c>
      <c r="D26" s="7" t="s">
        <v>43</v>
      </c>
      <c r="E26" s="9" t="n">
        <v>0.75</v>
      </c>
      <c r="F26" s="9" t="n">
        <f aca="false">C26*E26</f>
        <v>105</v>
      </c>
      <c r="G26" s="9" t="n">
        <f aca="false">E26*1.81818181818182</f>
        <v>1.36363636363636</v>
      </c>
      <c r="H26" s="9" t="n">
        <f aca="false">C26*G26</f>
        <v>190.909090909091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50</v>
      </c>
      <c r="D29" s="7" t="s">
        <v>40</v>
      </c>
      <c r="E29" s="9" t="n">
        <v>1.25</v>
      </c>
      <c r="F29" s="9" t="n">
        <f aca="false">C29*E29</f>
        <v>62.5</v>
      </c>
      <c r="G29" s="9" t="n">
        <f aca="false">E29*1.81818181818182</f>
        <v>2.27272727272727</v>
      </c>
      <c r="H29" s="9" t="n">
        <f aca="false">C29*G29</f>
        <v>113.636363636364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160</v>
      </c>
      <c r="D31" s="7" t="s">
        <v>40</v>
      </c>
      <c r="E31" s="9" t="n">
        <v>0.15</v>
      </c>
      <c r="F31" s="9" t="n">
        <f aca="false">C31*E31</f>
        <v>24</v>
      </c>
      <c r="G31" s="9" t="n">
        <f aca="false">E31*1.81818181818182</f>
        <v>0.272727272727273</v>
      </c>
      <c r="H31" s="9" t="n">
        <f aca="false">C31*G31</f>
        <v>43.6363636363636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504</v>
      </c>
      <c r="D32" s="7" t="s">
        <v>40</v>
      </c>
      <c r="E32" s="9" t="n">
        <v>0.15</v>
      </c>
      <c r="F32" s="9" t="n">
        <f aca="false">C32*E32</f>
        <v>75.6</v>
      </c>
      <c r="G32" s="9" t="n">
        <f aca="false">E32*1.81818181818182</f>
        <v>0.272727272727273</v>
      </c>
      <c r="H32" s="9" t="n">
        <f aca="false">C32*G32</f>
        <v>137.454545454545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17</v>
      </c>
      <c r="D34" s="7" t="s">
        <v>76</v>
      </c>
      <c r="E34" s="9" t="n">
        <v>12</v>
      </c>
      <c r="F34" s="9" t="n">
        <f aca="false">C34*E34</f>
        <v>204</v>
      </c>
      <c r="G34" s="9" t="n">
        <f aca="false">E34*1.81818181818182</f>
        <v>21.8181818181818</v>
      </c>
      <c r="H34" s="9" t="n">
        <f aca="false">C34*G34</f>
        <v>370.909090909091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11535.9931687685</v>
      </c>
      <c r="H36" s="13" t="n">
        <f aca="false">SUM(H8:H35)</f>
        <v>20974.5330341246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10</v>
      </c>
      <c r="D8" s="7" t="s">
        <v>40</v>
      </c>
      <c r="E8" s="9" t="n">
        <v>68</v>
      </c>
      <c r="F8" s="9" t="n">
        <f aca="false">C8*E8</f>
        <v>680</v>
      </c>
      <c r="G8" s="9" t="n">
        <f aca="false">E8*1.81818181818182</f>
        <v>123.636363636364</v>
      </c>
      <c r="H8" s="9" t="n">
        <f aca="false">C8*G8</f>
        <v>1236.36363636364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250</v>
      </c>
      <c r="F9" s="9" t="n">
        <f aca="false">C9*E9</f>
        <v>2500</v>
      </c>
      <c r="G9" s="9" t="n">
        <f aca="false">E9*1.81818181818182</f>
        <v>454.545454545455</v>
      </c>
      <c r="H9" s="9" t="n">
        <f aca="false">C9*G9</f>
        <v>4545.45454545455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3</v>
      </c>
      <c r="F10" s="9" t="n">
        <f aca="false">C10*E10</f>
        <v>420</v>
      </c>
      <c r="G10" s="9" t="n">
        <f aca="false">E10*1.81818181818182</f>
        <v>5.45454545454545</v>
      </c>
      <c r="H10" s="9" t="n">
        <f aca="false">C10*G10</f>
        <v>763.636363636364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16</v>
      </c>
      <c r="F12" s="9" t="n">
        <f aca="false">C12*E12</f>
        <v>160</v>
      </c>
      <c r="G12" s="9" t="n">
        <f aca="false">E12*1.81818181818182</f>
        <v>29.0909090909091</v>
      </c>
      <c r="H12" s="9" t="n">
        <f aca="false">C12*G12</f>
        <v>290.909090909091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420</v>
      </c>
      <c r="D14" s="7" t="s">
        <v>43</v>
      </c>
      <c r="E14" s="9" t="n">
        <v>3.5</v>
      </c>
      <c r="F14" s="9" t="n">
        <f aca="false">C14*E14</f>
        <v>1470</v>
      </c>
      <c r="G14" s="9" t="n">
        <f aca="false">E14*1.81818181818182</f>
        <v>6.36363636363636</v>
      </c>
      <c r="H14" s="9" t="n">
        <f aca="false">C14*G14</f>
        <v>2672.72727272727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4</v>
      </c>
      <c r="D15" s="7" t="s">
        <v>45</v>
      </c>
      <c r="E15" s="9" t="n">
        <v>8.5</v>
      </c>
      <c r="F15" s="9" t="n">
        <f aca="false">C15*E15</f>
        <v>34</v>
      </c>
      <c r="G15" s="9" t="n">
        <f aca="false">E15*1.81818181818182</f>
        <v>15.4545454545455</v>
      </c>
      <c r="H15" s="9" t="n">
        <f aca="false">C15*G15</f>
        <v>61.8181818181818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28</v>
      </c>
      <c r="D16" s="7" t="s">
        <v>52</v>
      </c>
      <c r="E16" s="9" t="n">
        <v>45</v>
      </c>
      <c r="F16" s="9" t="n">
        <f aca="false">C16*E16</f>
        <v>1260</v>
      </c>
      <c r="G16" s="9" t="n">
        <f aca="false">E16*1.81818181818182</f>
        <v>81.8181818181818</v>
      </c>
      <c r="H16" s="9" t="n">
        <f aca="false">C16*G16</f>
        <v>2290.90909090909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40</v>
      </c>
      <c r="D17" s="7" t="s">
        <v>43</v>
      </c>
      <c r="E17" s="9" t="n">
        <v>1.5</v>
      </c>
      <c r="F17" s="9" t="n">
        <f aca="false">C17*E17</f>
        <v>60</v>
      </c>
      <c r="G17" s="9" t="n">
        <f aca="false">E17*1.81818181818182</f>
        <v>2.72727272727273</v>
      </c>
      <c r="H17" s="9" t="n">
        <f aca="false">C17*G17</f>
        <v>109.090909090909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28</v>
      </c>
      <c r="D18" s="7" t="s">
        <v>40</v>
      </c>
      <c r="E18" s="9" t="n">
        <v>2</v>
      </c>
      <c r="F18" s="9" t="n">
        <f aca="false">C18*E18</f>
        <v>56</v>
      </c>
      <c r="G18" s="9" t="n">
        <f aca="false">E18*1.81818181818182</f>
        <v>3.63636363636364</v>
      </c>
      <c r="H18" s="9" t="n">
        <f aca="false">C18*G18</f>
        <v>101.818181818182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560</v>
      </c>
      <c r="D19" s="7" t="s">
        <v>40</v>
      </c>
      <c r="E19" s="9" t="n">
        <v>0.18</v>
      </c>
      <c r="F19" s="9" t="n">
        <f aca="false">C19*E19</f>
        <v>100.8</v>
      </c>
      <c r="G19" s="9" t="n">
        <f aca="false">E19*1.81818181818182</f>
        <v>0.327272727272727</v>
      </c>
      <c r="H19" s="9" t="n">
        <f aca="false">C19*G19</f>
        <v>183.272727272727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47</v>
      </c>
      <c r="D20" s="7" t="s">
        <v>52</v>
      </c>
      <c r="E20" s="9" t="n">
        <v>49</v>
      </c>
      <c r="F20" s="9" t="n">
        <f aca="false">C20*E20</f>
        <v>2303</v>
      </c>
      <c r="G20" s="9" t="n">
        <f aca="false">E20*1.81818181818182</f>
        <v>89.0909090909091</v>
      </c>
      <c r="H20" s="9" t="n">
        <f aca="false">C20*G20</f>
        <v>4187.27272727273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20</v>
      </c>
      <c r="D21" s="7" t="s">
        <v>52</v>
      </c>
      <c r="E21" s="9" t="n">
        <v>18</v>
      </c>
      <c r="F21" s="9" t="n">
        <f aca="false">C21*E21</f>
        <v>360</v>
      </c>
      <c r="G21" s="9" t="n">
        <f aca="false">E21*1.81818181818182</f>
        <v>32.7272727272727</v>
      </c>
      <c r="H21" s="9" t="n">
        <f aca="false">C21*G21</f>
        <v>654.545454545455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981</v>
      </c>
      <c r="D22" s="7" t="s">
        <v>40</v>
      </c>
      <c r="E22" s="9" t="n">
        <v>0.16</v>
      </c>
      <c r="F22" s="9" t="n">
        <f aca="false">C22*E22</f>
        <v>156.96</v>
      </c>
      <c r="G22" s="9" t="n">
        <f aca="false">E22*1.81818181818182</f>
        <v>0.290909090909091</v>
      </c>
      <c r="H22" s="9" t="n">
        <f aca="false">C22*G22</f>
        <v>285.381818181818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8</v>
      </c>
      <c r="D23" s="7" t="s">
        <v>40</v>
      </c>
      <c r="E23" s="9" t="n">
        <v>2.5</v>
      </c>
      <c r="F23" s="9" t="n">
        <f aca="false">C23*E23</f>
        <v>20</v>
      </c>
      <c r="G23" s="9" t="n">
        <f aca="false">E23*1.81818181818182</f>
        <v>4.54545454545455</v>
      </c>
      <c r="H23" s="9" t="n">
        <f aca="false">C23*G23</f>
        <v>36.3636363636364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80</v>
      </c>
      <c r="D24" s="7" t="s">
        <v>43</v>
      </c>
      <c r="E24" s="9" t="n">
        <v>1.25</v>
      </c>
      <c r="F24" s="9" t="n">
        <f aca="false">C24*E24</f>
        <v>100</v>
      </c>
      <c r="G24" s="9" t="n">
        <f aca="false">E24*1.81818181818182</f>
        <v>2.27272727272727</v>
      </c>
      <c r="H24" s="9" t="n">
        <f aca="false">C24*G24</f>
        <v>181.818181818182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61.8465843842649</v>
      </c>
      <c r="D25" s="7" t="s">
        <v>43</v>
      </c>
      <c r="E25" s="9" t="n">
        <v>1.5</v>
      </c>
      <c r="F25" s="9" t="n">
        <f aca="false">C25*E25</f>
        <v>92.7698765763974</v>
      </c>
      <c r="G25" s="9" t="n">
        <f aca="false">E25*1.81818181818182</f>
        <v>2.72727272727273</v>
      </c>
      <c r="H25" s="9" t="n">
        <f aca="false">C25*G25</f>
        <v>168.672502866177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140</v>
      </c>
      <c r="D27" s="7" t="s">
        <v>43</v>
      </c>
      <c r="E27" s="9" t="n">
        <v>0.75</v>
      </c>
      <c r="F27" s="9" t="n">
        <f aca="false">C27*E27</f>
        <v>105</v>
      </c>
      <c r="G27" s="9" t="n">
        <f aca="false">E27*1.81818181818182</f>
        <v>1.36363636363636</v>
      </c>
      <c r="H27" s="9" t="n">
        <f aca="false">C27*G27</f>
        <v>190.909090909091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80</v>
      </c>
      <c r="D28" s="7" t="s">
        <v>43</v>
      </c>
      <c r="E28" s="9" t="n">
        <v>0.85</v>
      </c>
      <c r="F28" s="9" t="n">
        <f aca="false">C28*E28</f>
        <v>68</v>
      </c>
      <c r="G28" s="9" t="n">
        <f aca="false">E28*1.81818181818182</f>
        <v>1.54545454545455</v>
      </c>
      <c r="H28" s="9" t="n">
        <f aca="false">C28*G28</f>
        <v>123.636363636364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30.9232921921325</v>
      </c>
      <c r="D29" s="7" t="s">
        <v>43</v>
      </c>
      <c r="E29" s="9" t="n">
        <v>1</v>
      </c>
      <c r="F29" s="9" t="n">
        <f aca="false">C29*E29</f>
        <v>30.9232921921325</v>
      </c>
      <c r="G29" s="9" t="n">
        <f aca="false">E29*1.81818181818182</f>
        <v>1.81818181818182</v>
      </c>
      <c r="H29" s="9" t="n">
        <f aca="false">C29*G29</f>
        <v>56.224167622059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60</v>
      </c>
      <c r="D30" s="7" t="s">
        <v>40</v>
      </c>
      <c r="E30" s="9" t="n">
        <v>1.25</v>
      </c>
      <c r="F30" s="9" t="n">
        <f aca="false">C30*E30</f>
        <v>75</v>
      </c>
      <c r="G30" s="9" t="n">
        <f aca="false">E30*1.81818181818182</f>
        <v>2.27272727272727</v>
      </c>
      <c r="H30" s="9" t="n">
        <f aca="false">C30*G30</f>
        <v>136.363636363636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40</v>
      </c>
      <c r="D31" s="7" t="s">
        <v>40</v>
      </c>
      <c r="E31" s="9" t="n">
        <v>0.85</v>
      </c>
      <c r="F31" s="9" t="n">
        <f aca="false">C31*E31</f>
        <v>34</v>
      </c>
      <c r="G31" s="9" t="n">
        <f aca="false">E31*1.81818181818182</f>
        <v>1.54545454545455</v>
      </c>
      <c r="H31" s="9" t="n">
        <f aca="false">C31*G31</f>
        <v>61.8181818181818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160</v>
      </c>
      <c r="D32" s="7" t="s">
        <v>40</v>
      </c>
      <c r="E32" s="9" t="n">
        <v>0.15</v>
      </c>
      <c r="F32" s="9" t="n">
        <f aca="false">C32*E32</f>
        <v>24</v>
      </c>
      <c r="G32" s="9" t="n">
        <f aca="false">E32*1.81818181818182</f>
        <v>0.272727272727273</v>
      </c>
      <c r="H32" s="9" t="n">
        <f aca="false">C32*G32</f>
        <v>43.6363636363636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504</v>
      </c>
      <c r="D33" s="7" t="s">
        <v>40</v>
      </c>
      <c r="E33" s="9" t="n">
        <v>0.15</v>
      </c>
      <c r="F33" s="9" t="n">
        <f aca="false">C33*E33</f>
        <v>75.6</v>
      </c>
      <c r="G33" s="9" t="n">
        <f aca="false">E33*1.81818181818182</f>
        <v>0.272727272727273</v>
      </c>
      <c r="H33" s="9" t="n">
        <f aca="false">C33*G33</f>
        <v>137.454545454545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8</v>
      </c>
      <c r="D34" s="7" t="s">
        <v>40</v>
      </c>
      <c r="E34" s="9" t="n">
        <v>12</v>
      </c>
      <c r="F34" s="9" t="n">
        <f aca="false">C34*E34</f>
        <v>96</v>
      </c>
      <c r="G34" s="9" t="n">
        <f aca="false">E34*1.81818181818182</f>
        <v>21.8181818181818</v>
      </c>
      <c r="H34" s="9" t="n">
        <f aca="false">C34*G34</f>
        <v>174.545454545455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20</v>
      </c>
      <c r="D36" s="7" t="s">
        <v>76</v>
      </c>
      <c r="E36" s="9" t="n">
        <v>12</v>
      </c>
      <c r="F36" s="9" t="n">
        <f aca="false">C36*E36</f>
        <v>240</v>
      </c>
      <c r="G36" s="9" t="n">
        <f aca="false">E36*1.81818181818182</f>
        <v>21.8181818181818</v>
      </c>
      <c r="H36" s="9" t="n">
        <f aca="false">C36*G36</f>
        <v>436.363636363636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12320.0531687685</v>
      </c>
      <c r="H38" s="13" t="n">
        <f aca="false">SUM(H8:H37)</f>
        <v>22400.0966704882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10</v>
      </c>
      <c r="D8" s="7" t="s">
        <v>40</v>
      </c>
      <c r="E8" s="9" t="n">
        <v>82</v>
      </c>
      <c r="F8" s="9" t="n">
        <f aca="false">C8*E8</f>
        <v>820</v>
      </c>
      <c r="G8" s="9" t="n">
        <f aca="false">E8*1.81818181818182</f>
        <v>149.090909090909</v>
      </c>
      <c r="H8" s="9" t="n">
        <f aca="false">C8*G8</f>
        <v>1490.90909090909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287.5</v>
      </c>
      <c r="F9" s="9" t="n">
        <f aca="false">C9*E9</f>
        <v>2875</v>
      </c>
      <c r="G9" s="9" t="n">
        <f aca="false">E9*1.81818181818182</f>
        <v>522.727272727273</v>
      </c>
      <c r="H9" s="9" t="n">
        <f aca="false">C9*G9</f>
        <v>5227.27272727273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3.5</v>
      </c>
      <c r="F10" s="9" t="n">
        <f aca="false">C10*E10</f>
        <v>490</v>
      </c>
      <c r="G10" s="9" t="n">
        <f aca="false">E10*1.81818181818182</f>
        <v>6.36363636363636</v>
      </c>
      <c r="H10" s="9" t="n">
        <f aca="false">C10*G10</f>
        <v>890.909090909091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20</v>
      </c>
      <c r="F13" s="9" t="n">
        <f aca="false">C13*E13</f>
        <v>200</v>
      </c>
      <c r="G13" s="9" t="n">
        <f aca="false">E13*1.81818181818182</f>
        <v>36.3636363636364</v>
      </c>
      <c r="H13" s="9" t="n">
        <f aca="false">C13*G13</f>
        <v>363.636363636364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320</v>
      </c>
      <c r="D14" s="7" t="s">
        <v>43</v>
      </c>
      <c r="E14" s="9" t="n">
        <v>3.75</v>
      </c>
      <c r="F14" s="9" t="n">
        <f aca="false">C14*E14</f>
        <v>1200</v>
      </c>
      <c r="G14" s="9" t="n">
        <f aca="false">E14*1.81818181818182</f>
        <v>6.81818181818182</v>
      </c>
      <c r="H14" s="9" t="n">
        <f aca="false">C14*G14</f>
        <v>2181.81818181818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560</v>
      </c>
      <c r="D15" s="7" t="s">
        <v>43</v>
      </c>
      <c r="E15" s="9" t="n">
        <v>4</v>
      </c>
      <c r="F15" s="9" t="n">
        <f aca="false">C15*E15</f>
        <v>2240</v>
      </c>
      <c r="G15" s="9" t="n">
        <f aca="false">E15*1.81818181818182</f>
        <v>7.27272727272727</v>
      </c>
      <c r="H15" s="9" t="n">
        <f aca="false">C15*G15</f>
        <v>4072.72727272727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8</v>
      </c>
      <c r="D16" s="7" t="s">
        <v>45</v>
      </c>
      <c r="E16" s="9" t="n">
        <v>8.5</v>
      </c>
      <c r="F16" s="9" t="n">
        <f aca="false">C16*E16</f>
        <v>68</v>
      </c>
      <c r="G16" s="9" t="n">
        <f aca="false">E16*1.81818181818182</f>
        <v>15.4545454545455</v>
      </c>
      <c r="H16" s="9" t="n">
        <f aca="false">C16*G16</f>
        <v>123.636363636364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45</v>
      </c>
      <c r="F17" s="9" t="n">
        <f aca="false">C17*E17</f>
        <v>1260</v>
      </c>
      <c r="G17" s="9" t="n">
        <f aca="false">E17*1.81818181818182</f>
        <v>81.8181818181818</v>
      </c>
      <c r="H17" s="9" t="n">
        <f aca="false">C17*G17</f>
        <v>2290.90909090909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47</v>
      </c>
      <c r="D21" s="7" t="s">
        <v>52</v>
      </c>
      <c r="E21" s="9" t="n">
        <v>56</v>
      </c>
      <c r="F21" s="9" t="n">
        <f aca="false">C21*E21</f>
        <v>2632</v>
      </c>
      <c r="G21" s="9" t="n">
        <f aca="false">E21*1.81818181818182</f>
        <v>101.818181818182</v>
      </c>
      <c r="H21" s="9" t="n">
        <f aca="false">C21*G21</f>
        <v>4785.45454545455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1120</v>
      </c>
      <c r="D23" s="7" t="s">
        <v>40</v>
      </c>
      <c r="E23" s="9" t="n">
        <v>0.16</v>
      </c>
      <c r="F23" s="9" t="n">
        <f aca="false">C23*E23</f>
        <v>179.2</v>
      </c>
      <c r="G23" s="9" t="n">
        <f aca="false">E23*1.81818181818182</f>
        <v>0.290909090909091</v>
      </c>
      <c r="H23" s="9" t="n">
        <f aca="false">C23*G23</f>
        <v>325.818181818182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140</v>
      </c>
      <c r="D28" s="7" t="s">
        <v>43</v>
      </c>
      <c r="E28" s="9" t="n">
        <v>0.75</v>
      </c>
      <c r="F28" s="9" t="n">
        <f aca="false">C28*E28</f>
        <v>105</v>
      </c>
      <c r="G28" s="9" t="n">
        <f aca="false">E28*1.81818181818182</f>
        <v>1.36363636363636</v>
      </c>
      <c r="H28" s="9" t="n">
        <f aca="false">C28*G28</f>
        <v>190.909090909091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80</v>
      </c>
      <c r="D31" s="7" t="s">
        <v>40</v>
      </c>
      <c r="E31" s="9" t="n">
        <v>1.25</v>
      </c>
      <c r="F31" s="9" t="n">
        <f aca="false">C31*E31</f>
        <v>100</v>
      </c>
      <c r="G31" s="9" t="n">
        <f aca="false">E31*1.81818181818182</f>
        <v>2.27272727272727</v>
      </c>
      <c r="H31" s="9" t="n">
        <f aca="false">C31*G31</f>
        <v>181.818181818182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160</v>
      </c>
      <c r="D33" s="7" t="s">
        <v>40</v>
      </c>
      <c r="E33" s="9" t="n">
        <v>0.15</v>
      </c>
      <c r="F33" s="9" t="n">
        <f aca="false">C33*E33</f>
        <v>24</v>
      </c>
      <c r="G33" s="9" t="n">
        <f aca="false">E33*1.81818181818182</f>
        <v>0.272727272727273</v>
      </c>
      <c r="H33" s="9" t="n">
        <f aca="false">C33*G33</f>
        <v>43.6363636363636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672</v>
      </c>
      <c r="D34" s="7" t="s">
        <v>40</v>
      </c>
      <c r="E34" s="9" t="n">
        <v>0.15</v>
      </c>
      <c r="F34" s="9" t="n">
        <f aca="false">C34*E34</f>
        <v>100.8</v>
      </c>
      <c r="G34" s="9" t="n">
        <f aca="false">E34*1.81818181818182</f>
        <v>0.272727272727273</v>
      </c>
      <c r="H34" s="9" t="n">
        <f aca="false">C34*G34</f>
        <v>183.272727272727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8</v>
      </c>
      <c r="D35" s="7" t="s">
        <v>40</v>
      </c>
      <c r="E35" s="9" t="n">
        <v>14</v>
      </c>
      <c r="F35" s="9" t="n">
        <f aca="false">C35*E35</f>
        <v>112</v>
      </c>
      <c r="G35" s="9" t="n">
        <f aca="false">E35*1.81818181818182</f>
        <v>25.4545454545455</v>
      </c>
      <c r="H35" s="9" t="n">
        <f aca="false">C35*G35</f>
        <v>203.636363636364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20</v>
      </c>
      <c r="D36" s="7" t="s">
        <v>40</v>
      </c>
      <c r="E36" s="9" t="n">
        <v>1.5</v>
      </c>
      <c r="F36" s="9" t="n">
        <f aca="false">C36*E36</f>
        <v>30</v>
      </c>
      <c r="G36" s="9" t="n">
        <f aca="false">E36*1.81818181818182</f>
        <v>2.72727272727273</v>
      </c>
      <c r="H36" s="9" t="n">
        <f aca="false">C36*G36</f>
        <v>54.5454545454545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23</v>
      </c>
      <c r="D38" s="7" t="s">
        <v>76</v>
      </c>
      <c r="E38" s="9" t="n">
        <v>12</v>
      </c>
      <c r="F38" s="9" t="n">
        <f aca="false">C38*E38</f>
        <v>276</v>
      </c>
      <c r="G38" s="9" t="n">
        <f aca="false">E38*1.81818181818182</f>
        <v>21.8181818181818</v>
      </c>
      <c r="H38" s="9" t="n">
        <f aca="false">C38*G38</f>
        <v>501.818181818182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14713.4931687685</v>
      </c>
      <c r="H40" s="13" t="n">
        <f aca="false">SUM(H8:H39)</f>
        <v>26751.8057613973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10</v>
      </c>
      <c r="D8" s="7" t="s">
        <v>40</v>
      </c>
      <c r="E8" s="9" t="n">
        <v>110</v>
      </c>
      <c r="F8" s="9" t="n">
        <f aca="false">C8*E8</f>
        <v>1100</v>
      </c>
      <c r="G8" s="9" t="n">
        <f aca="false">E8*1.81818181818182</f>
        <v>200</v>
      </c>
      <c r="H8" s="9" t="n">
        <f aca="false">C8*G8</f>
        <v>2000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10</v>
      </c>
      <c r="D9" s="7" t="s">
        <v>40</v>
      </c>
      <c r="E9" s="9" t="n">
        <v>325</v>
      </c>
      <c r="F9" s="9" t="n">
        <f aca="false">C9*E9</f>
        <v>3250</v>
      </c>
      <c r="G9" s="9" t="n">
        <f aca="false">E9*1.81818181818182</f>
        <v>590.909090909091</v>
      </c>
      <c r="H9" s="9" t="n">
        <f aca="false">C9*G9</f>
        <v>5909.09090909091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4.25</v>
      </c>
      <c r="F10" s="9" t="n">
        <f aca="false">C10*E10</f>
        <v>595</v>
      </c>
      <c r="G10" s="9" t="n">
        <f aca="false">E10*1.81818181818182</f>
        <v>7.72727272727273</v>
      </c>
      <c r="H10" s="9" t="n">
        <f aca="false">C10*G10</f>
        <v>1081.81818181818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28</v>
      </c>
      <c r="F13" s="9" t="n">
        <f aca="false">C13*E13</f>
        <v>280</v>
      </c>
      <c r="G13" s="9" t="n">
        <f aca="false">E13*1.81818181818182</f>
        <v>50.9090909090909</v>
      </c>
      <c r="H13" s="9" t="n">
        <f aca="false">C13*G13</f>
        <v>509.090909090909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320</v>
      </c>
      <c r="D14" s="7" t="s">
        <v>43</v>
      </c>
      <c r="E14" s="9" t="n">
        <v>3.75</v>
      </c>
      <c r="F14" s="9" t="n">
        <f aca="false">C14*E14</f>
        <v>1200</v>
      </c>
      <c r="G14" s="9" t="n">
        <f aca="false">E14*1.81818181818182</f>
        <v>6.81818181818182</v>
      </c>
      <c r="H14" s="9" t="n">
        <f aca="false">C14*G14</f>
        <v>2181.81818181818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560</v>
      </c>
      <c r="D15" s="7" t="s">
        <v>43</v>
      </c>
      <c r="E15" s="9" t="n">
        <v>4.25</v>
      </c>
      <c r="F15" s="9" t="n">
        <f aca="false">C15*E15</f>
        <v>2380</v>
      </c>
      <c r="G15" s="9" t="n">
        <f aca="false">E15*1.81818181818182</f>
        <v>7.72727272727273</v>
      </c>
      <c r="H15" s="9" t="n">
        <f aca="false">C15*G15</f>
        <v>4327.27272727273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45</v>
      </c>
      <c r="F17" s="9" t="n">
        <f aca="false">C17*E17</f>
        <v>1260</v>
      </c>
      <c r="G17" s="9" t="n">
        <f aca="false">E17*1.81818181818182</f>
        <v>81.8181818181818</v>
      </c>
      <c r="H17" s="9" t="n">
        <f aca="false">C17*G17</f>
        <v>2290.90909090909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47</v>
      </c>
      <c r="D21" s="7" t="s">
        <v>52</v>
      </c>
      <c r="E21" s="9" t="n">
        <v>70</v>
      </c>
      <c r="F21" s="9" t="n">
        <f aca="false">C21*E21</f>
        <v>3290</v>
      </c>
      <c r="G21" s="9" t="n">
        <f aca="false">E21*1.81818181818182</f>
        <v>127.272727272727</v>
      </c>
      <c r="H21" s="9" t="n">
        <f aca="false">C21*G21</f>
        <v>5981.81818181818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1400</v>
      </c>
      <c r="D23" s="7" t="s">
        <v>40</v>
      </c>
      <c r="E23" s="9" t="n">
        <v>0.16</v>
      </c>
      <c r="F23" s="9" t="n">
        <f aca="false">C23*E23</f>
        <v>224</v>
      </c>
      <c r="G23" s="9" t="n">
        <f aca="false">E23*1.81818181818182</f>
        <v>0.290909090909091</v>
      </c>
      <c r="H23" s="9" t="n">
        <f aca="false">C23*G23</f>
        <v>407.272727272727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140</v>
      </c>
      <c r="D28" s="7" t="s">
        <v>43</v>
      </c>
      <c r="E28" s="9" t="n">
        <v>0.75</v>
      </c>
      <c r="F28" s="9" t="n">
        <f aca="false">C28*E28</f>
        <v>105</v>
      </c>
      <c r="G28" s="9" t="n">
        <f aca="false">E28*1.81818181818182</f>
        <v>1.36363636363636</v>
      </c>
      <c r="H28" s="9" t="n">
        <f aca="false">C28*G28</f>
        <v>190.909090909091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100</v>
      </c>
      <c r="D31" s="7" t="s">
        <v>40</v>
      </c>
      <c r="E31" s="9" t="n">
        <v>1.25</v>
      </c>
      <c r="F31" s="9" t="n">
        <f aca="false">C31*E31</f>
        <v>125</v>
      </c>
      <c r="G31" s="9" t="n">
        <f aca="false">E31*1.81818181818182</f>
        <v>2.27272727272727</v>
      </c>
      <c r="H31" s="9" t="n">
        <f aca="false">C31*G31</f>
        <v>227.272727272727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160</v>
      </c>
      <c r="D33" s="7" t="s">
        <v>40</v>
      </c>
      <c r="E33" s="9" t="n">
        <v>0.15</v>
      </c>
      <c r="F33" s="9" t="n">
        <f aca="false">C33*E33</f>
        <v>24</v>
      </c>
      <c r="G33" s="9" t="n">
        <f aca="false">E33*1.81818181818182</f>
        <v>0.272727272727273</v>
      </c>
      <c r="H33" s="9" t="n">
        <f aca="false">C33*G33</f>
        <v>43.6363636363636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672</v>
      </c>
      <c r="D34" s="7" t="s">
        <v>40</v>
      </c>
      <c r="E34" s="9" t="n">
        <v>0.15</v>
      </c>
      <c r="F34" s="9" t="n">
        <f aca="false">C34*E34</f>
        <v>100.8</v>
      </c>
      <c r="G34" s="9" t="n">
        <f aca="false">E34*1.81818181818182</f>
        <v>0.272727272727273</v>
      </c>
      <c r="H34" s="9" t="n">
        <f aca="false">C34*G34</f>
        <v>183.272727272727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16</v>
      </c>
      <c r="F35" s="9" t="n">
        <f aca="false">C35*E35</f>
        <v>256</v>
      </c>
      <c r="G35" s="9" t="n">
        <f aca="false">E35*1.81818181818182</f>
        <v>29.0909090909091</v>
      </c>
      <c r="H35" s="9" t="n">
        <f aca="false">C35*G35</f>
        <v>465.454545454545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40</v>
      </c>
      <c r="D36" s="7" t="s">
        <v>40</v>
      </c>
      <c r="E36" s="9" t="n">
        <v>1.5</v>
      </c>
      <c r="F36" s="9" t="n">
        <f aca="false">C36*E36</f>
        <v>60</v>
      </c>
      <c r="G36" s="9" t="n">
        <f aca="false">E36*1.81818181818182</f>
        <v>2.72727272727273</v>
      </c>
      <c r="H36" s="9" t="n">
        <f aca="false">C36*G36</f>
        <v>109.090909090909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28</v>
      </c>
      <c r="D38" s="7" t="s">
        <v>76</v>
      </c>
      <c r="E38" s="9" t="n">
        <v>12</v>
      </c>
      <c r="F38" s="9" t="n">
        <f aca="false">C38*E38</f>
        <v>336</v>
      </c>
      <c r="G38" s="9" t="n">
        <f aca="false">E38*1.81818181818182</f>
        <v>21.8181818181818</v>
      </c>
      <c r="H38" s="9" t="n">
        <f aca="false">C38*G38</f>
        <v>610.909090909091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17292.2931687685</v>
      </c>
      <c r="H40" s="13" t="n">
        <f aca="false">SUM(H8:H39)</f>
        <v>31440.5330341246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10</v>
      </c>
      <c r="D8" s="7" t="s">
        <v>40</v>
      </c>
      <c r="E8" s="9" t="n">
        <v>125</v>
      </c>
      <c r="F8" s="9" t="n">
        <f aca="false">C8*E8</f>
        <v>1250</v>
      </c>
      <c r="G8" s="9" t="n">
        <f aca="false">E8*1.81818181818182</f>
        <v>227.272727272727</v>
      </c>
      <c r="H8" s="9" t="n">
        <f aca="false">C8*G8</f>
        <v>2272.72727272727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145</v>
      </c>
      <c r="F9" s="9" t="n">
        <f aca="false">C9*E9</f>
        <v>1450</v>
      </c>
      <c r="G9" s="9" t="n">
        <f aca="false">E9*1.81818181818182</f>
        <v>263.636363636364</v>
      </c>
      <c r="H9" s="9" t="n">
        <f aca="false">C9*G9</f>
        <v>2636.36363636364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2.5</v>
      </c>
      <c r="F10" s="9" t="n">
        <f aca="false">C10*E10</f>
        <v>350</v>
      </c>
      <c r="G10" s="9" t="n">
        <f aca="false">E10*1.81818181818182</f>
        <v>4.54545454545455</v>
      </c>
      <c r="H10" s="9" t="n">
        <f aca="false">C10*G10</f>
        <v>636.363636363636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18</v>
      </c>
      <c r="F12" s="9" t="n">
        <f aca="false">C12*E12</f>
        <v>180</v>
      </c>
      <c r="G12" s="9" t="n">
        <f aca="false">E12*1.81818181818182</f>
        <v>32.7272727272727</v>
      </c>
      <c r="H12" s="9" t="n">
        <f aca="false">C12*G12</f>
        <v>327.272727272727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280</v>
      </c>
      <c r="D14" s="7" t="s">
        <v>43</v>
      </c>
      <c r="E14" s="9" t="n">
        <v>3.5</v>
      </c>
      <c r="F14" s="9" t="n">
        <f aca="false">C14*E14</f>
        <v>980</v>
      </c>
      <c r="G14" s="9" t="n">
        <f aca="false">E14*1.81818181818182</f>
        <v>6.36363636363636</v>
      </c>
      <c r="H14" s="9" t="n">
        <f aca="false">C14*G14</f>
        <v>1781.81818181818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45</v>
      </c>
      <c r="F15" s="9" t="n">
        <f aca="false">C15*E15</f>
        <v>1260</v>
      </c>
      <c r="G15" s="9" t="n">
        <f aca="false">E15*1.81818181818182</f>
        <v>81.8181818181818</v>
      </c>
      <c r="H15" s="9" t="n">
        <f aca="false">C15*G15</f>
        <v>2290.90909090909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47</v>
      </c>
      <c r="D19" s="7" t="s">
        <v>52</v>
      </c>
      <c r="E19" s="9" t="n">
        <v>35</v>
      </c>
      <c r="F19" s="9" t="n">
        <f aca="false">C19*E19</f>
        <v>1645</v>
      </c>
      <c r="G19" s="9" t="n">
        <f aca="false">E19*1.81818181818182</f>
        <v>63.6363636363636</v>
      </c>
      <c r="H19" s="9" t="n">
        <f aca="false">C19*G19</f>
        <v>2990.90909090909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700</v>
      </c>
      <c r="D21" s="7" t="s">
        <v>40</v>
      </c>
      <c r="E21" s="9" t="n">
        <v>0.16</v>
      </c>
      <c r="F21" s="9" t="n">
        <f aca="false">C21*E21</f>
        <v>112</v>
      </c>
      <c r="G21" s="9" t="n">
        <f aca="false">E21*1.81818181818182</f>
        <v>0.290909090909091</v>
      </c>
      <c r="H21" s="9" t="n">
        <f aca="false">C21*G21</f>
        <v>203.636363636364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140</v>
      </c>
      <c r="D26" s="7" t="s">
        <v>43</v>
      </c>
      <c r="E26" s="9" t="n">
        <v>0.75</v>
      </c>
      <c r="F26" s="9" t="n">
        <f aca="false">C26*E26</f>
        <v>105</v>
      </c>
      <c r="G26" s="9" t="n">
        <f aca="false">E26*1.81818181818182</f>
        <v>1.36363636363636</v>
      </c>
      <c r="H26" s="9" t="n">
        <f aca="false">C26*G26</f>
        <v>190.909090909091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40</v>
      </c>
      <c r="D29" s="7" t="s">
        <v>40</v>
      </c>
      <c r="E29" s="9" t="n">
        <v>1.25</v>
      </c>
      <c r="F29" s="9" t="n">
        <f aca="false">C29*E29</f>
        <v>50</v>
      </c>
      <c r="G29" s="9" t="n">
        <f aca="false">E29*1.81818181818182</f>
        <v>2.27272727272727</v>
      </c>
      <c r="H29" s="9" t="n">
        <f aca="false">C29*G29</f>
        <v>90.9090909090909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160</v>
      </c>
      <c r="D31" s="7" t="s">
        <v>40</v>
      </c>
      <c r="E31" s="9" t="n">
        <v>0.15</v>
      </c>
      <c r="F31" s="9" t="n">
        <f aca="false">C31*E31</f>
        <v>24</v>
      </c>
      <c r="G31" s="9" t="n">
        <f aca="false">E31*1.81818181818182</f>
        <v>0.272727272727273</v>
      </c>
      <c r="H31" s="9" t="n">
        <f aca="false">C31*G31</f>
        <v>43.6363636363636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336</v>
      </c>
      <c r="D32" s="7" t="s">
        <v>40</v>
      </c>
      <c r="E32" s="9" t="n">
        <v>0.15</v>
      </c>
      <c r="F32" s="9" t="n">
        <f aca="false">C32*E32</f>
        <v>50.4</v>
      </c>
      <c r="G32" s="9" t="n">
        <f aca="false">E32*1.81818181818182</f>
        <v>0.272727272727273</v>
      </c>
      <c r="H32" s="9" t="n">
        <f aca="false">C32*G32</f>
        <v>91.6363636363636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14</v>
      </c>
      <c r="D34" s="7" t="s">
        <v>76</v>
      </c>
      <c r="E34" s="9" t="n">
        <v>12</v>
      </c>
      <c r="F34" s="9" t="n">
        <f aca="false">C34*E34</f>
        <v>168</v>
      </c>
      <c r="G34" s="9" t="n">
        <f aca="false">E34*1.81818181818182</f>
        <v>21.8181818181818</v>
      </c>
      <c r="H34" s="9" t="n">
        <f aca="false">C34*G34</f>
        <v>305.454545454545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10191.8931687685</v>
      </c>
      <c r="H36" s="13" t="n">
        <f aca="false">SUM(H8:H35)</f>
        <v>18530.7148523064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10</v>
      </c>
      <c r="D8" s="7" t="s">
        <v>40</v>
      </c>
      <c r="E8" s="9" t="n">
        <v>150</v>
      </c>
      <c r="F8" s="9" t="n">
        <f aca="false">C8*E8</f>
        <v>1500</v>
      </c>
      <c r="G8" s="9" t="n">
        <f aca="false">E8*1.81818181818182</f>
        <v>272.727272727273</v>
      </c>
      <c r="H8" s="9" t="n">
        <f aca="false">C8*G8</f>
        <v>2727.27272727273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145</v>
      </c>
      <c r="F9" s="9" t="n">
        <f aca="false">C9*E9</f>
        <v>1450</v>
      </c>
      <c r="G9" s="9" t="n">
        <f aca="false">E9*1.81818181818182</f>
        <v>263.636363636364</v>
      </c>
      <c r="H9" s="9" t="n">
        <f aca="false">C9*G9</f>
        <v>2636.36363636364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2.75</v>
      </c>
      <c r="F10" s="9" t="n">
        <f aca="false">C10*E10</f>
        <v>385</v>
      </c>
      <c r="G10" s="9" t="n">
        <f aca="false">E10*1.81818181818182</f>
        <v>5</v>
      </c>
      <c r="H10" s="9" t="n">
        <f aca="false">C10*G10</f>
        <v>700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22</v>
      </c>
      <c r="F12" s="9" t="n">
        <f aca="false">C12*E12</f>
        <v>220</v>
      </c>
      <c r="G12" s="9" t="n">
        <f aca="false">E12*1.81818181818182</f>
        <v>40</v>
      </c>
      <c r="H12" s="9" t="n">
        <f aca="false">C12*G12</f>
        <v>400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420</v>
      </c>
      <c r="D14" s="7" t="s">
        <v>43</v>
      </c>
      <c r="E14" s="9" t="n">
        <v>3.5</v>
      </c>
      <c r="F14" s="9" t="n">
        <f aca="false">C14*E14</f>
        <v>1470</v>
      </c>
      <c r="G14" s="9" t="n">
        <f aca="false">E14*1.81818181818182</f>
        <v>6.36363636363636</v>
      </c>
      <c r="H14" s="9" t="n">
        <f aca="false">C14*G14</f>
        <v>2672.72727272727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28</v>
      </c>
      <c r="D15" s="7" t="s">
        <v>52</v>
      </c>
      <c r="E15" s="9" t="n">
        <v>45</v>
      </c>
      <c r="F15" s="9" t="n">
        <f aca="false">C15*E15</f>
        <v>1260</v>
      </c>
      <c r="G15" s="9" t="n">
        <f aca="false">E15*1.81818181818182</f>
        <v>81.8181818181818</v>
      </c>
      <c r="H15" s="9" t="n">
        <f aca="false">C15*G15</f>
        <v>2290.90909090909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40</v>
      </c>
      <c r="D16" s="7" t="s">
        <v>43</v>
      </c>
      <c r="E16" s="9" t="n">
        <v>1.5</v>
      </c>
      <c r="F16" s="9" t="n">
        <f aca="false">C16*E16</f>
        <v>60</v>
      </c>
      <c r="G16" s="9" t="n">
        <f aca="false">E16*1.81818181818182</f>
        <v>2.72727272727273</v>
      </c>
      <c r="H16" s="9" t="n">
        <f aca="false">C16*G16</f>
        <v>109.090909090909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28</v>
      </c>
      <c r="D17" s="7" t="s">
        <v>40</v>
      </c>
      <c r="E17" s="9" t="n">
        <v>2</v>
      </c>
      <c r="F17" s="9" t="n">
        <f aca="false">C17*E17</f>
        <v>56</v>
      </c>
      <c r="G17" s="9" t="n">
        <f aca="false">E17*1.81818181818182</f>
        <v>3.63636363636364</v>
      </c>
      <c r="H17" s="9" t="n">
        <f aca="false">C17*G17</f>
        <v>101.818181818182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560</v>
      </c>
      <c r="D18" s="7" t="s">
        <v>40</v>
      </c>
      <c r="E18" s="9" t="n">
        <v>0.18</v>
      </c>
      <c r="F18" s="9" t="n">
        <f aca="false">C18*E18</f>
        <v>100.8</v>
      </c>
      <c r="G18" s="9" t="n">
        <f aca="false">E18*1.81818181818182</f>
        <v>0.327272727272727</v>
      </c>
      <c r="H18" s="9" t="n">
        <f aca="false">C18*G18</f>
        <v>183.272727272727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47</v>
      </c>
      <c r="D19" s="7" t="s">
        <v>52</v>
      </c>
      <c r="E19" s="9" t="n">
        <v>42</v>
      </c>
      <c r="F19" s="9" t="n">
        <f aca="false">C19*E19</f>
        <v>1974</v>
      </c>
      <c r="G19" s="9" t="n">
        <f aca="false">E19*1.81818181818182</f>
        <v>76.3636363636364</v>
      </c>
      <c r="H19" s="9" t="n">
        <f aca="false">C19*G19</f>
        <v>3589.09090909091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20</v>
      </c>
      <c r="D20" s="7" t="s">
        <v>52</v>
      </c>
      <c r="E20" s="9" t="n">
        <v>18</v>
      </c>
      <c r="F20" s="9" t="n">
        <f aca="false">C20*E20</f>
        <v>360</v>
      </c>
      <c r="G20" s="9" t="n">
        <f aca="false">E20*1.81818181818182</f>
        <v>32.7272727272727</v>
      </c>
      <c r="H20" s="9" t="n">
        <f aca="false">C20*G20</f>
        <v>654.545454545455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840</v>
      </c>
      <c r="D21" s="7" t="s">
        <v>40</v>
      </c>
      <c r="E21" s="9" t="n">
        <v>0.16</v>
      </c>
      <c r="F21" s="9" t="n">
        <f aca="false">C21*E21</f>
        <v>134.4</v>
      </c>
      <c r="G21" s="9" t="n">
        <f aca="false">E21*1.81818181818182</f>
        <v>0.290909090909091</v>
      </c>
      <c r="H21" s="9" t="n">
        <f aca="false">C21*G21</f>
        <v>244.363636363636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8</v>
      </c>
      <c r="D22" s="7" t="s">
        <v>40</v>
      </c>
      <c r="E22" s="9" t="n">
        <v>2.5</v>
      </c>
      <c r="F22" s="9" t="n">
        <f aca="false">C22*E22</f>
        <v>20</v>
      </c>
      <c r="G22" s="9" t="n">
        <f aca="false">E22*1.81818181818182</f>
        <v>4.54545454545455</v>
      </c>
      <c r="H22" s="9" t="n">
        <f aca="false">C22*G22</f>
        <v>36.3636363636364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80</v>
      </c>
      <c r="D23" s="7" t="s">
        <v>43</v>
      </c>
      <c r="E23" s="9" t="n">
        <v>1.25</v>
      </c>
      <c r="F23" s="9" t="n">
        <f aca="false">C23*E23</f>
        <v>100</v>
      </c>
      <c r="G23" s="9" t="n">
        <f aca="false">E23*1.81818181818182</f>
        <v>2.27272727272727</v>
      </c>
      <c r="H23" s="9" t="n">
        <f aca="false">C23*G23</f>
        <v>181.818181818182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61.8465843842649</v>
      </c>
      <c r="D24" s="7" t="s">
        <v>43</v>
      </c>
      <c r="E24" s="9" t="n">
        <v>1.5</v>
      </c>
      <c r="F24" s="9" t="n">
        <f aca="false">C24*E24</f>
        <v>92.7698765763974</v>
      </c>
      <c r="G24" s="9" t="n">
        <f aca="false">E24*1.81818181818182</f>
        <v>2.72727272727273</v>
      </c>
      <c r="H24" s="9" t="n">
        <f aca="false">C24*G24</f>
        <v>168.672502866177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140</v>
      </c>
      <c r="D26" s="7" t="s">
        <v>43</v>
      </c>
      <c r="E26" s="9" t="n">
        <v>0.75</v>
      </c>
      <c r="F26" s="9" t="n">
        <f aca="false">C26*E26</f>
        <v>105</v>
      </c>
      <c r="G26" s="9" t="n">
        <f aca="false">E26*1.81818181818182</f>
        <v>1.36363636363636</v>
      </c>
      <c r="H26" s="9" t="n">
        <f aca="false">C26*G26</f>
        <v>190.909090909091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80</v>
      </c>
      <c r="D27" s="7" t="s">
        <v>43</v>
      </c>
      <c r="E27" s="9" t="n">
        <v>0.85</v>
      </c>
      <c r="F27" s="9" t="n">
        <f aca="false">C27*E27</f>
        <v>68</v>
      </c>
      <c r="G27" s="9" t="n">
        <f aca="false">E27*1.81818181818182</f>
        <v>1.54545454545455</v>
      </c>
      <c r="H27" s="9" t="n">
        <f aca="false">C27*G27</f>
        <v>123.636363636364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30.9232921921325</v>
      </c>
      <c r="D28" s="7" t="s">
        <v>43</v>
      </c>
      <c r="E28" s="9" t="n">
        <v>1</v>
      </c>
      <c r="F28" s="9" t="n">
        <f aca="false">C28*E28</f>
        <v>30.9232921921325</v>
      </c>
      <c r="G28" s="9" t="n">
        <f aca="false">E28*1.81818181818182</f>
        <v>1.81818181818182</v>
      </c>
      <c r="H28" s="9" t="n">
        <f aca="false">C28*G28</f>
        <v>56.224167622059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50</v>
      </c>
      <c r="D29" s="7" t="s">
        <v>40</v>
      </c>
      <c r="E29" s="9" t="n">
        <v>1.25</v>
      </c>
      <c r="F29" s="9" t="n">
        <f aca="false">C29*E29</f>
        <v>62.5</v>
      </c>
      <c r="G29" s="9" t="n">
        <f aca="false">E29*1.81818181818182</f>
        <v>2.27272727272727</v>
      </c>
      <c r="H29" s="9" t="n">
        <f aca="false">C29*G29</f>
        <v>113.636363636364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40</v>
      </c>
      <c r="D30" s="7" t="s">
        <v>40</v>
      </c>
      <c r="E30" s="9" t="n">
        <v>0.85</v>
      </c>
      <c r="F30" s="9" t="n">
        <f aca="false">C30*E30</f>
        <v>34</v>
      </c>
      <c r="G30" s="9" t="n">
        <f aca="false">E30*1.81818181818182</f>
        <v>1.54545454545455</v>
      </c>
      <c r="H30" s="9" t="n">
        <f aca="false">C30*G30</f>
        <v>61.8181818181818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160</v>
      </c>
      <c r="D31" s="7" t="s">
        <v>40</v>
      </c>
      <c r="E31" s="9" t="n">
        <v>0.15</v>
      </c>
      <c r="F31" s="9" t="n">
        <f aca="false">C31*E31</f>
        <v>24</v>
      </c>
      <c r="G31" s="9" t="n">
        <f aca="false">E31*1.81818181818182</f>
        <v>0.272727272727273</v>
      </c>
      <c r="H31" s="9" t="n">
        <f aca="false">C31*G31</f>
        <v>43.6363636363636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504</v>
      </c>
      <c r="D32" s="7" t="s">
        <v>40</v>
      </c>
      <c r="E32" s="9" t="n">
        <v>0.15</v>
      </c>
      <c r="F32" s="9" t="n">
        <f aca="false">C32*E32</f>
        <v>75.6</v>
      </c>
      <c r="G32" s="9" t="n">
        <f aca="false">E32*1.81818181818182</f>
        <v>0.272727272727273</v>
      </c>
      <c r="H32" s="9" t="n">
        <f aca="false">C32*G32</f>
        <v>137.454545454545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17</v>
      </c>
      <c r="D34" s="7" t="s">
        <v>76</v>
      </c>
      <c r="E34" s="9" t="n">
        <v>12</v>
      </c>
      <c r="F34" s="9" t="n">
        <f aca="false">C34*E34</f>
        <v>204</v>
      </c>
      <c r="G34" s="9" t="n">
        <f aca="false">E34*1.81818181818182</f>
        <v>21.8181818181818</v>
      </c>
      <c r="H34" s="9" t="n">
        <f aca="false">C34*G34</f>
        <v>370.909090909091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11525.9931687685</v>
      </c>
      <c r="H36" s="13" t="n">
        <f aca="false">SUM(H8:H35)</f>
        <v>20956.3512159428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10</v>
      </c>
      <c r="D8" s="7" t="s">
        <v>40</v>
      </c>
      <c r="E8" s="9" t="n">
        <v>185</v>
      </c>
      <c r="F8" s="9" t="n">
        <f aca="false">C8*E8</f>
        <v>1850</v>
      </c>
      <c r="G8" s="9" t="n">
        <f aca="false">E8*1.81818181818182</f>
        <v>336.363636363636</v>
      </c>
      <c r="H8" s="9" t="n">
        <f aca="false">C8*G8</f>
        <v>3363.63636363636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145</v>
      </c>
      <c r="F9" s="9" t="n">
        <f aca="false">C9*E9</f>
        <v>1450</v>
      </c>
      <c r="G9" s="9" t="n">
        <f aca="false">E9*1.81818181818182</f>
        <v>263.636363636364</v>
      </c>
      <c r="H9" s="9" t="n">
        <f aca="false">C9*G9</f>
        <v>2636.36363636364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3</v>
      </c>
      <c r="F10" s="9" t="n">
        <f aca="false">C10*E10</f>
        <v>420</v>
      </c>
      <c r="G10" s="9" t="n">
        <f aca="false">E10*1.81818181818182</f>
        <v>5.45454545454545</v>
      </c>
      <c r="H10" s="9" t="n">
        <f aca="false">C10*G10</f>
        <v>763.636363636364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10</v>
      </c>
      <c r="D12" s="7" t="s">
        <v>40</v>
      </c>
      <c r="E12" s="9" t="n">
        <v>26</v>
      </c>
      <c r="F12" s="9" t="n">
        <f aca="false">C12*E12</f>
        <v>260</v>
      </c>
      <c r="G12" s="9" t="n">
        <f aca="false">E12*1.81818181818182</f>
        <v>47.2727272727273</v>
      </c>
      <c r="H12" s="9" t="n">
        <f aca="false">C12*G12</f>
        <v>472.727272727273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320</v>
      </c>
      <c r="D13" s="7" t="s">
        <v>43</v>
      </c>
      <c r="E13" s="9" t="n">
        <v>3.75</v>
      </c>
      <c r="F13" s="9" t="n">
        <f aca="false">C13*E13</f>
        <v>1200</v>
      </c>
      <c r="G13" s="9" t="n">
        <f aca="false">E13*1.81818181818182</f>
        <v>6.81818181818182</v>
      </c>
      <c r="H13" s="9" t="n">
        <f aca="false">C13*G13</f>
        <v>2181.81818181818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420</v>
      </c>
      <c r="D14" s="7" t="s">
        <v>43</v>
      </c>
      <c r="E14" s="9" t="n">
        <v>3.5</v>
      </c>
      <c r="F14" s="9" t="n">
        <f aca="false">C14*E14</f>
        <v>1470</v>
      </c>
      <c r="G14" s="9" t="n">
        <f aca="false">E14*1.81818181818182</f>
        <v>6.36363636363636</v>
      </c>
      <c r="H14" s="9" t="n">
        <f aca="false">C14*G14</f>
        <v>2672.72727272727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4</v>
      </c>
      <c r="D15" s="7" t="s">
        <v>45</v>
      </c>
      <c r="E15" s="9" t="n">
        <v>8.5</v>
      </c>
      <c r="F15" s="9" t="n">
        <f aca="false">C15*E15</f>
        <v>34</v>
      </c>
      <c r="G15" s="9" t="n">
        <f aca="false">E15*1.81818181818182</f>
        <v>15.4545454545455</v>
      </c>
      <c r="H15" s="9" t="n">
        <f aca="false">C15*G15</f>
        <v>61.8181818181818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28</v>
      </c>
      <c r="D16" s="7" t="s">
        <v>52</v>
      </c>
      <c r="E16" s="9" t="n">
        <v>45</v>
      </c>
      <c r="F16" s="9" t="n">
        <f aca="false">C16*E16</f>
        <v>1260</v>
      </c>
      <c r="G16" s="9" t="n">
        <f aca="false">E16*1.81818181818182</f>
        <v>81.8181818181818</v>
      </c>
      <c r="H16" s="9" t="n">
        <f aca="false">C16*G16</f>
        <v>2290.90909090909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40</v>
      </c>
      <c r="D17" s="7" t="s">
        <v>43</v>
      </c>
      <c r="E17" s="9" t="n">
        <v>1.5</v>
      </c>
      <c r="F17" s="9" t="n">
        <f aca="false">C17*E17</f>
        <v>60</v>
      </c>
      <c r="G17" s="9" t="n">
        <f aca="false">E17*1.81818181818182</f>
        <v>2.72727272727273</v>
      </c>
      <c r="H17" s="9" t="n">
        <f aca="false">C17*G17</f>
        <v>109.090909090909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28</v>
      </c>
      <c r="D18" s="7" t="s">
        <v>40</v>
      </c>
      <c r="E18" s="9" t="n">
        <v>2</v>
      </c>
      <c r="F18" s="9" t="n">
        <f aca="false">C18*E18</f>
        <v>56</v>
      </c>
      <c r="G18" s="9" t="n">
        <f aca="false">E18*1.81818181818182</f>
        <v>3.63636363636364</v>
      </c>
      <c r="H18" s="9" t="n">
        <f aca="false">C18*G18</f>
        <v>101.818181818182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560</v>
      </c>
      <c r="D19" s="7" t="s">
        <v>40</v>
      </c>
      <c r="E19" s="9" t="n">
        <v>0.18</v>
      </c>
      <c r="F19" s="9" t="n">
        <f aca="false">C19*E19</f>
        <v>100.8</v>
      </c>
      <c r="G19" s="9" t="n">
        <f aca="false">E19*1.81818181818182</f>
        <v>0.327272727272727</v>
      </c>
      <c r="H19" s="9" t="n">
        <f aca="false">C19*G19</f>
        <v>183.272727272727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47</v>
      </c>
      <c r="D20" s="7" t="s">
        <v>52</v>
      </c>
      <c r="E20" s="9" t="n">
        <v>49</v>
      </c>
      <c r="F20" s="9" t="n">
        <f aca="false">C20*E20</f>
        <v>2303</v>
      </c>
      <c r="G20" s="9" t="n">
        <f aca="false">E20*1.81818181818182</f>
        <v>89.0909090909091</v>
      </c>
      <c r="H20" s="9" t="n">
        <f aca="false">C20*G20</f>
        <v>4187.27272727273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20</v>
      </c>
      <c r="D21" s="7" t="s">
        <v>52</v>
      </c>
      <c r="E21" s="9" t="n">
        <v>18</v>
      </c>
      <c r="F21" s="9" t="n">
        <f aca="false">C21*E21</f>
        <v>360</v>
      </c>
      <c r="G21" s="9" t="n">
        <f aca="false">E21*1.81818181818182</f>
        <v>32.7272727272727</v>
      </c>
      <c r="H21" s="9" t="n">
        <f aca="false">C21*G21</f>
        <v>654.545454545455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981</v>
      </c>
      <c r="D22" s="7" t="s">
        <v>40</v>
      </c>
      <c r="E22" s="9" t="n">
        <v>0.16</v>
      </c>
      <c r="F22" s="9" t="n">
        <f aca="false">C22*E22</f>
        <v>156.96</v>
      </c>
      <c r="G22" s="9" t="n">
        <f aca="false">E22*1.81818181818182</f>
        <v>0.290909090909091</v>
      </c>
      <c r="H22" s="9" t="n">
        <f aca="false">C22*G22</f>
        <v>285.381818181818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8</v>
      </c>
      <c r="D23" s="7" t="s">
        <v>40</v>
      </c>
      <c r="E23" s="9" t="n">
        <v>2.5</v>
      </c>
      <c r="F23" s="9" t="n">
        <f aca="false">C23*E23</f>
        <v>20</v>
      </c>
      <c r="G23" s="9" t="n">
        <f aca="false">E23*1.81818181818182</f>
        <v>4.54545454545455</v>
      </c>
      <c r="H23" s="9" t="n">
        <f aca="false">C23*G23</f>
        <v>36.3636363636364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80</v>
      </c>
      <c r="D24" s="7" t="s">
        <v>43</v>
      </c>
      <c r="E24" s="9" t="n">
        <v>1.25</v>
      </c>
      <c r="F24" s="9" t="n">
        <f aca="false">C24*E24</f>
        <v>100</v>
      </c>
      <c r="G24" s="9" t="n">
        <f aca="false">E24*1.81818181818182</f>
        <v>2.27272727272727</v>
      </c>
      <c r="H24" s="9" t="n">
        <f aca="false">C24*G24</f>
        <v>181.818181818182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61.8465843842649</v>
      </c>
      <c r="D25" s="7" t="s">
        <v>43</v>
      </c>
      <c r="E25" s="9" t="n">
        <v>1.5</v>
      </c>
      <c r="F25" s="9" t="n">
        <f aca="false">C25*E25</f>
        <v>92.7698765763974</v>
      </c>
      <c r="G25" s="9" t="n">
        <f aca="false">E25*1.81818181818182</f>
        <v>2.72727272727273</v>
      </c>
      <c r="H25" s="9" t="n">
        <f aca="false">C25*G25</f>
        <v>168.672502866177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140</v>
      </c>
      <c r="D27" s="7" t="s">
        <v>43</v>
      </c>
      <c r="E27" s="9" t="n">
        <v>0.75</v>
      </c>
      <c r="F27" s="9" t="n">
        <f aca="false">C27*E27</f>
        <v>105</v>
      </c>
      <c r="G27" s="9" t="n">
        <f aca="false">E27*1.81818181818182</f>
        <v>1.36363636363636</v>
      </c>
      <c r="H27" s="9" t="n">
        <f aca="false">C27*G27</f>
        <v>190.909090909091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80</v>
      </c>
      <c r="D28" s="7" t="s">
        <v>43</v>
      </c>
      <c r="E28" s="9" t="n">
        <v>0.85</v>
      </c>
      <c r="F28" s="9" t="n">
        <f aca="false">C28*E28</f>
        <v>68</v>
      </c>
      <c r="G28" s="9" t="n">
        <f aca="false">E28*1.81818181818182</f>
        <v>1.54545454545455</v>
      </c>
      <c r="H28" s="9" t="n">
        <f aca="false">C28*G28</f>
        <v>123.636363636364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30.9232921921325</v>
      </c>
      <c r="D29" s="7" t="s">
        <v>43</v>
      </c>
      <c r="E29" s="9" t="n">
        <v>1</v>
      </c>
      <c r="F29" s="9" t="n">
        <f aca="false">C29*E29</f>
        <v>30.9232921921325</v>
      </c>
      <c r="G29" s="9" t="n">
        <f aca="false">E29*1.81818181818182</f>
        <v>1.81818181818182</v>
      </c>
      <c r="H29" s="9" t="n">
        <f aca="false">C29*G29</f>
        <v>56.224167622059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60</v>
      </c>
      <c r="D30" s="7" t="s">
        <v>40</v>
      </c>
      <c r="E30" s="9" t="n">
        <v>1.25</v>
      </c>
      <c r="F30" s="9" t="n">
        <f aca="false">C30*E30</f>
        <v>75</v>
      </c>
      <c r="G30" s="9" t="n">
        <f aca="false">E30*1.81818181818182</f>
        <v>2.27272727272727</v>
      </c>
      <c r="H30" s="9" t="n">
        <f aca="false">C30*G30</f>
        <v>136.363636363636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40</v>
      </c>
      <c r="D31" s="7" t="s">
        <v>40</v>
      </c>
      <c r="E31" s="9" t="n">
        <v>0.85</v>
      </c>
      <c r="F31" s="9" t="n">
        <f aca="false">C31*E31</f>
        <v>34</v>
      </c>
      <c r="G31" s="9" t="n">
        <f aca="false">E31*1.81818181818182</f>
        <v>1.54545454545455</v>
      </c>
      <c r="H31" s="9" t="n">
        <f aca="false">C31*G31</f>
        <v>61.8181818181818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160</v>
      </c>
      <c r="D32" s="7" t="s">
        <v>40</v>
      </c>
      <c r="E32" s="9" t="n">
        <v>0.15</v>
      </c>
      <c r="F32" s="9" t="n">
        <f aca="false">C32*E32</f>
        <v>24</v>
      </c>
      <c r="G32" s="9" t="n">
        <f aca="false">E32*1.81818181818182</f>
        <v>0.272727272727273</v>
      </c>
      <c r="H32" s="9" t="n">
        <f aca="false">C32*G32</f>
        <v>43.6363636363636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504</v>
      </c>
      <c r="D33" s="7" t="s">
        <v>40</v>
      </c>
      <c r="E33" s="9" t="n">
        <v>0.15</v>
      </c>
      <c r="F33" s="9" t="n">
        <f aca="false">C33*E33</f>
        <v>75.6</v>
      </c>
      <c r="G33" s="9" t="n">
        <f aca="false">E33*1.81818181818182</f>
        <v>0.272727272727273</v>
      </c>
      <c r="H33" s="9" t="n">
        <f aca="false">C33*G33</f>
        <v>137.454545454545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8</v>
      </c>
      <c r="D34" s="7" t="s">
        <v>40</v>
      </c>
      <c r="E34" s="9" t="n">
        <v>12</v>
      </c>
      <c r="F34" s="9" t="n">
        <f aca="false">C34*E34</f>
        <v>96</v>
      </c>
      <c r="G34" s="9" t="n">
        <f aca="false">E34*1.81818181818182</f>
        <v>21.8181818181818</v>
      </c>
      <c r="H34" s="9" t="n">
        <f aca="false">C34*G34</f>
        <v>174.545454545455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20</v>
      </c>
      <c r="D36" s="7" t="s">
        <v>76</v>
      </c>
      <c r="E36" s="9" t="n">
        <v>12</v>
      </c>
      <c r="F36" s="9" t="n">
        <f aca="false">C36*E36</f>
        <v>240</v>
      </c>
      <c r="G36" s="9" t="n">
        <f aca="false">E36*1.81818181818182</f>
        <v>21.8181818181818</v>
      </c>
      <c r="H36" s="9" t="n">
        <f aca="false">C36*G36</f>
        <v>436.363636363636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12540.0531687685</v>
      </c>
      <c r="H38" s="13" t="n">
        <f aca="false">SUM(H8:H37)</f>
        <v>22800.0966704882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10</v>
      </c>
      <c r="D8" s="7" t="s">
        <v>40</v>
      </c>
      <c r="E8" s="9" t="n">
        <v>225</v>
      </c>
      <c r="F8" s="9" t="n">
        <f aca="false">C8*E8</f>
        <v>2250</v>
      </c>
      <c r="G8" s="9" t="n">
        <f aca="false">E8*1.81818181818182</f>
        <v>409.090909090909</v>
      </c>
      <c r="H8" s="9" t="n">
        <f aca="false">C8*G8</f>
        <v>4090.90909090909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166.75</v>
      </c>
      <c r="F9" s="9" t="n">
        <f aca="false">C9*E9</f>
        <v>1667.5</v>
      </c>
      <c r="G9" s="9" t="n">
        <f aca="false">E9*1.81818181818182</f>
        <v>303.181818181818</v>
      </c>
      <c r="H9" s="9" t="n">
        <f aca="false">C9*G9</f>
        <v>3031.81818181818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3.5</v>
      </c>
      <c r="F10" s="9" t="n">
        <f aca="false">C10*E10</f>
        <v>490</v>
      </c>
      <c r="G10" s="9" t="n">
        <f aca="false">E10*1.81818181818182</f>
        <v>6.36363636363636</v>
      </c>
      <c r="H10" s="9" t="n">
        <f aca="false">C10*G10</f>
        <v>890.909090909091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32</v>
      </c>
      <c r="F13" s="9" t="n">
        <f aca="false">C13*E13</f>
        <v>320</v>
      </c>
      <c r="G13" s="9" t="n">
        <f aca="false">E13*1.81818181818182</f>
        <v>58.1818181818182</v>
      </c>
      <c r="H13" s="9" t="n">
        <f aca="false">C13*G13</f>
        <v>581.818181818182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320</v>
      </c>
      <c r="D14" s="7" t="s">
        <v>43</v>
      </c>
      <c r="E14" s="9" t="n">
        <v>3.75</v>
      </c>
      <c r="F14" s="9" t="n">
        <f aca="false">C14*E14</f>
        <v>1200</v>
      </c>
      <c r="G14" s="9" t="n">
        <f aca="false">E14*1.81818181818182</f>
        <v>6.81818181818182</v>
      </c>
      <c r="H14" s="9" t="n">
        <f aca="false">C14*G14</f>
        <v>2181.81818181818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560</v>
      </c>
      <c r="D15" s="7" t="s">
        <v>43</v>
      </c>
      <c r="E15" s="9" t="n">
        <v>4</v>
      </c>
      <c r="F15" s="9" t="n">
        <f aca="false">C15*E15</f>
        <v>2240</v>
      </c>
      <c r="G15" s="9" t="n">
        <f aca="false">E15*1.81818181818182</f>
        <v>7.27272727272727</v>
      </c>
      <c r="H15" s="9" t="n">
        <f aca="false">C15*G15</f>
        <v>4072.72727272727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8</v>
      </c>
      <c r="D16" s="7" t="s">
        <v>45</v>
      </c>
      <c r="E16" s="9" t="n">
        <v>8.5</v>
      </c>
      <c r="F16" s="9" t="n">
        <f aca="false">C16*E16</f>
        <v>68</v>
      </c>
      <c r="G16" s="9" t="n">
        <f aca="false">E16*1.81818181818182</f>
        <v>15.4545454545455</v>
      </c>
      <c r="H16" s="9" t="n">
        <f aca="false">C16*G16</f>
        <v>123.636363636364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45</v>
      </c>
      <c r="F17" s="9" t="n">
        <f aca="false">C17*E17</f>
        <v>1260</v>
      </c>
      <c r="G17" s="9" t="n">
        <f aca="false">E17*1.81818181818182</f>
        <v>81.8181818181818</v>
      </c>
      <c r="H17" s="9" t="n">
        <f aca="false">C17*G17</f>
        <v>2290.90909090909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47</v>
      </c>
      <c r="D21" s="7" t="s">
        <v>52</v>
      </c>
      <c r="E21" s="9" t="n">
        <v>56</v>
      </c>
      <c r="F21" s="9" t="n">
        <f aca="false">C21*E21</f>
        <v>2632</v>
      </c>
      <c r="G21" s="9" t="n">
        <f aca="false">E21*1.81818181818182</f>
        <v>101.818181818182</v>
      </c>
      <c r="H21" s="9" t="n">
        <f aca="false">C21*G21</f>
        <v>4785.45454545455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1120</v>
      </c>
      <c r="D23" s="7" t="s">
        <v>40</v>
      </c>
      <c r="E23" s="9" t="n">
        <v>0.16</v>
      </c>
      <c r="F23" s="9" t="n">
        <f aca="false">C23*E23</f>
        <v>179.2</v>
      </c>
      <c r="G23" s="9" t="n">
        <f aca="false">E23*1.81818181818182</f>
        <v>0.290909090909091</v>
      </c>
      <c r="H23" s="9" t="n">
        <f aca="false">C23*G23</f>
        <v>325.818181818182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140</v>
      </c>
      <c r="D28" s="7" t="s">
        <v>43</v>
      </c>
      <c r="E28" s="9" t="n">
        <v>0.75</v>
      </c>
      <c r="F28" s="9" t="n">
        <f aca="false">C28*E28</f>
        <v>105</v>
      </c>
      <c r="G28" s="9" t="n">
        <f aca="false">E28*1.81818181818182</f>
        <v>1.36363636363636</v>
      </c>
      <c r="H28" s="9" t="n">
        <f aca="false">C28*G28</f>
        <v>190.909090909091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80</v>
      </c>
      <c r="D31" s="7" t="s">
        <v>40</v>
      </c>
      <c r="E31" s="9" t="n">
        <v>1.25</v>
      </c>
      <c r="F31" s="9" t="n">
        <f aca="false">C31*E31</f>
        <v>100</v>
      </c>
      <c r="G31" s="9" t="n">
        <f aca="false">E31*1.81818181818182</f>
        <v>2.27272727272727</v>
      </c>
      <c r="H31" s="9" t="n">
        <f aca="false">C31*G31</f>
        <v>181.818181818182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160</v>
      </c>
      <c r="D33" s="7" t="s">
        <v>40</v>
      </c>
      <c r="E33" s="9" t="n">
        <v>0.15</v>
      </c>
      <c r="F33" s="9" t="n">
        <f aca="false">C33*E33</f>
        <v>24</v>
      </c>
      <c r="G33" s="9" t="n">
        <f aca="false">E33*1.81818181818182</f>
        <v>0.272727272727273</v>
      </c>
      <c r="H33" s="9" t="n">
        <f aca="false">C33*G33</f>
        <v>43.6363636363636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672</v>
      </c>
      <c r="D34" s="7" t="s">
        <v>40</v>
      </c>
      <c r="E34" s="9" t="n">
        <v>0.15</v>
      </c>
      <c r="F34" s="9" t="n">
        <f aca="false">C34*E34</f>
        <v>100.8</v>
      </c>
      <c r="G34" s="9" t="n">
        <f aca="false">E34*1.81818181818182</f>
        <v>0.272727272727273</v>
      </c>
      <c r="H34" s="9" t="n">
        <f aca="false">C34*G34</f>
        <v>183.272727272727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8</v>
      </c>
      <c r="D35" s="7" t="s">
        <v>40</v>
      </c>
      <c r="E35" s="9" t="n">
        <v>14</v>
      </c>
      <c r="F35" s="9" t="n">
        <f aca="false">C35*E35</f>
        <v>112</v>
      </c>
      <c r="G35" s="9" t="n">
        <f aca="false">E35*1.81818181818182</f>
        <v>25.4545454545455</v>
      </c>
      <c r="H35" s="9" t="n">
        <f aca="false">C35*G35</f>
        <v>203.636363636364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20</v>
      </c>
      <c r="D36" s="7" t="s">
        <v>40</v>
      </c>
      <c r="E36" s="9" t="n">
        <v>1.5</v>
      </c>
      <c r="F36" s="9" t="n">
        <f aca="false">C36*E36</f>
        <v>30</v>
      </c>
      <c r="G36" s="9" t="n">
        <f aca="false">E36*1.81818181818182</f>
        <v>2.72727272727273</v>
      </c>
      <c r="H36" s="9" t="n">
        <f aca="false">C36*G36</f>
        <v>54.5454545454545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23</v>
      </c>
      <c r="D38" s="7" t="s">
        <v>76</v>
      </c>
      <c r="E38" s="9" t="n">
        <v>12</v>
      </c>
      <c r="F38" s="9" t="n">
        <f aca="false">C38*E38</f>
        <v>276</v>
      </c>
      <c r="G38" s="9" t="n">
        <f aca="false">E38*1.81818181818182</f>
        <v>21.8181818181818</v>
      </c>
      <c r="H38" s="9" t="n">
        <f aca="false">C38*G38</f>
        <v>501.818181818182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15055.9931687685</v>
      </c>
      <c r="H40" s="13" t="n">
        <f aca="false">SUM(H8:H39)</f>
        <v>27374.5330341246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10</v>
      </c>
      <c r="D8" s="7" t="s">
        <v>40</v>
      </c>
      <c r="E8" s="9" t="n">
        <v>310</v>
      </c>
      <c r="F8" s="9" t="n">
        <f aca="false">C8*E8</f>
        <v>3100</v>
      </c>
      <c r="G8" s="9" t="n">
        <f aca="false">E8*1.81818181818182</f>
        <v>563.636363636364</v>
      </c>
      <c r="H8" s="9" t="n">
        <f aca="false">C8*G8</f>
        <v>5636.36363636364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10</v>
      </c>
      <c r="D9" s="7" t="s">
        <v>40</v>
      </c>
      <c r="E9" s="9" t="n">
        <v>188.5</v>
      </c>
      <c r="F9" s="9" t="n">
        <f aca="false">C9*E9</f>
        <v>1885</v>
      </c>
      <c r="G9" s="9" t="n">
        <f aca="false">E9*1.81818181818182</f>
        <v>342.727272727273</v>
      </c>
      <c r="H9" s="9" t="n">
        <f aca="false">C9*G9</f>
        <v>3427.27272727273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140</v>
      </c>
      <c r="D10" s="7" t="s">
        <v>43</v>
      </c>
      <c r="E10" s="9" t="n">
        <v>4.25</v>
      </c>
      <c r="F10" s="9" t="n">
        <f aca="false">C10*E10</f>
        <v>595</v>
      </c>
      <c r="G10" s="9" t="n">
        <f aca="false">E10*1.81818181818182</f>
        <v>7.72727272727273</v>
      </c>
      <c r="H10" s="9" t="n">
        <f aca="false">C10*G10</f>
        <v>1081.81818181818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10</v>
      </c>
      <c r="D13" s="7" t="s">
        <v>40</v>
      </c>
      <c r="E13" s="9" t="n">
        <v>45</v>
      </c>
      <c r="F13" s="9" t="n">
        <f aca="false">C13*E13</f>
        <v>450</v>
      </c>
      <c r="G13" s="9" t="n">
        <f aca="false">E13*1.81818181818182</f>
        <v>81.8181818181818</v>
      </c>
      <c r="H13" s="9" t="n">
        <f aca="false">C13*G13</f>
        <v>818.181818181818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320</v>
      </c>
      <c r="D14" s="7" t="s">
        <v>43</v>
      </c>
      <c r="E14" s="9" t="n">
        <v>3.75</v>
      </c>
      <c r="F14" s="9" t="n">
        <f aca="false">C14*E14</f>
        <v>1200</v>
      </c>
      <c r="G14" s="9" t="n">
        <f aca="false">E14*1.81818181818182</f>
        <v>6.81818181818182</v>
      </c>
      <c r="H14" s="9" t="n">
        <f aca="false">C14*G14</f>
        <v>2181.81818181818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560</v>
      </c>
      <c r="D15" s="7" t="s">
        <v>43</v>
      </c>
      <c r="E15" s="9" t="n">
        <v>4.25</v>
      </c>
      <c r="F15" s="9" t="n">
        <f aca="false">C15*E15</f>
        <v>2380</v>
      </c>
      <c r="G15" s="9" t="n">
        <f aca="false">E15*1.81818181818182</f>
        <v>7.72727272727273</v>
      </c>
      <c r="H15" s="9" t="n">
        <f aca="false">C15*G15</f>
        <v>4327.27272727273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12</v>
      </c>
      <c r="D16" s="7" t="s">
        <v>45</v>
      </c>
      <c r="E16" s="9" t="n">
        <v>8.5</v>
      </c>
      <c r="F16" s="9" t="n">
        <f aca="false">C16*E16</f>
        <v>102</v>
      </c>
      <c r="G16" s="9" t="n">
        <f aca="false">E16*1.81818181818182</f>
        <v>15.4545454545455</v>
      </c>
      <c r="H16" s="9" t="n">
        <f aca="false">C16*G16</f>
        <v>185.454545454545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28</v>
      </c>
      <c r="D17" s="7" t="s">
        <v>52</v>
      </c>
      <c r="E17" s="9" t="n">
        <v>45</v>
      </c>
      <c r="F17" s="9" t="n">
        <f aca="false">C17*E17</f>
        <v>1260</v>
      </c>
      <c r="G17" s="9" t="n">
        <f aca="false">E17*1.81818181818182</f>
        <v>81.8181818181818</v>
      </c>
      <c r="H17" s="9" t="n">
        <f aca="false">C17*G17</f>
        <v>2290.90909090909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40</v>
      </c>
      <c r="D18" s="7" t="s">
        <v>43</v>
      </c>
      <c r="E18" s="9" t="n">
        <v>1.5</v>
      </c>
      <c r="F18" s="9" t="n">
        <f aca="false">C18*E18</f>
        <v>60</v>
      </c>
      <c r="G18" s="9" t="n">
        <f aca="false">E18*1.81818181818182</f>
        <v>2.72727272727273</v>
      </c>
      <c r="H18" s="9" t="n">
        <f aca="false">C18*G18</f>
        <v>109.090909090909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28</v>
      </c>
      <c r="D19" s="7" t="s">
        <v>40</v>
      </c>
      <c r="E19" s="9" t="n">
        <v>2</v>
      </c>
      <c r="F19" s="9" t="n">
        <f aca="false">C19*E19</f>
        <v>56</v>
      </c>
      <c r="G19" s="9" t="n">
        <f aca="false">E19*1.81818181818182</f>
        <v>3.63636363636364</v>
      </c>
      <c r="H19" s="9" t="n">
        <f aca="false">C19*G19</f>
        <v>101.818181818182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560</v>
      </c>
      <c r="D20" s="7" t="s">
        <v>40</v>
      </c>
      <c r="E20" s="9" t="n">
        <v>0.18</v>
      </c>
      <c r="F20" s="9" t="n">
        <f aca="false">C20*E20</f>
        <v>100.8</v>
      </c>
      <c r="G20" s="9" t="n">
        <f aca="false">E20*1.81818181818182</f>
        <v>0.327272727272727</v>
      </c>
      <c r="H20" s="9" t="n">
        <f aca="false">C20*G20</f>
        <v>183.272727272727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47</v>
      </c>
      <c r="D21" s="7" t="s">
        <v>52</v>
      </c>
      <c r="E21" s="9" t="n">
        <v>70</v>
      </c>
      <c r="F21" s="9" t="n">
        <f aca="false">C21*E21</f>
        <v>3290</v>
      </c>
      <c r="G21" s="9" t="n">
        <f aca="false">E21*1.81818181818182</f>
        <v>127.272727272727</v>
      </c>
      <c r="H21" s="9" t="n">
        <f aca="false">C21*G21</f>
        <v>5981.81818181818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20</v>
      </c>
      <c r="D22" s="7" t="s">
        <v>52</v>
      </c>
      <c r="E22" s="9" t="n">
        <v>18</v>
      </c>
      <c r="F22" s="9" t="n">
        <f aca="false">C22*E22</f>
        <v>360</v>
      </c>
      <c r="G22" s="9" t="n">
        <f aca="false">E22*1.81818181818182</f>
        <v>32.7272727272727</v>
      </c>
      <c r="H22" s="9" t="n">
        <f aca="false">C22*G22</f>
        <v>654.545454545455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1400</v>
      </c>
      <c r="D23" s="7" t="s">
        <v>40</v>
      </c>
      <c r="E23" s="9" t="n">
        <v>0.16</v>
      </c>
      <c r="F23" s="9" t="n">
        <f aca="false">C23*E23</f>
        <v>224</v>
      </c>
      <c r="G23" s="9" t="n">
        <f aca="false">E23*1.81818181818182</f>
        <v>0.290909090909091</v>
      </c>
      <c r="H23" s="9" t="n">
        <f aca="false">C23*G23</f>
        <v>407.272727272727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8</v>
      </c>
      <c r="D24" s="7" t="s">
        <v>40</v>
      </c>
      <c r="E24" s="9" t="n">
        <v>2.5</v>
      </c>
      <c r="F24" s="9" t="n">
        <f aca="false">C24*E24</f>
        <v>20</v>
      </c>
      <c r="G24" s="9" t="n">
        <f aca="false">E24*1.81818181818182</f>
        <v>4.54545454545455</v>
      </c>
      <c r="H24" s="9" t="n">
        <f aca="false">C24*G24</f>
        <v>36.3636363636364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80</v>
      </c>
      <c r="D25" s="7" t="s">
        <v>43</v>
      </c>
      <c r="E25" s="9" t="n">
        <v>1.25</v>
      </c>
      <c r="F25" s="9" t="n">
        <f aca="false">C25*E25</f>
        <v>100</v>
      </c>
      <c r="G25" s="9" t="n">
        <f aca="false">E25*1.81818181818182</f>
        <v>2.27272727272727</v>
      </c>
      <c r="H25" s="9" t="n">
        <f aca="false">C25*G25</f>
        <v>181.818181818182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61.8465843842649</v>
      </c>
      <c r="D26" s="7" t="s">
        <v>43</v>
      </c>
      <c r="E26" s="9" t="n">
        <v>1.5</v>
      </c>
      <c r="F26" s="9" t="n">
        <f aca="false">C26*E26</f>
        <v>92.7698765763974</v>
      </c>
      <c r="G26" s="9" t="n">
        <f aca="false">E26*1.81818181818182</f>
        <v>2.72727272727273</v>
      </c>
      <c r="H26" s="9" t="n">
        <f aca="false">C26*G26</f>
        <v>168.672502866177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140</v>
      </c>
      <c r="D28" s="7" t="s">
        <v>43</v>
      </c>
      <c r="E28" s="9" t="n">
        <v>0.75</v>
      </c>
      <c r="F28" s="9" t="n">
        <f aca="false">C28*E28</f>
        <v>105</v>
      </c>
      <c r="G28" s="9" t="n">
        <f aca="false">E28*1.81818181818182</f>
        <v>1.36363636363636</v>
      </c>
      <c r="H28" s="9" t="n">
        <f aca="false">C28*G28</f>
        <v>190.909090909091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80</v>
      </c>
      <c r="D29" s="7" t="s">
        <v>43</v>
      </c>
      <c r="E29" s="9" t="n">
        <v>0.85</v>
      </c>
      <c r="F29" s="9" t="n">
        <f aca="false">C29*E29</f>
        <v>68</v>
      </c>
      <c r="G29" s="9" t="n">
        <f aca="false">E29*1.81818181818182</f>
        <v>1.54545454545455</v>
      </c>
      <c r="H29" s="9" t="n">
        <f aca="false">C29*G29</f>
        <v>123.636363636364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30.9232921921325</v>
      </c>
      <c r="D30" s="7" t="s">
        <v>43</v>
      </c>
      <c r="E30" s="9" t="n">
        <v>1</v>
      </c>
      <c r="F30" s="9" t="n">
        <f aca="false">C30*E30</f>
        <v>30.9232921921325</v>
      </c>
      <c r="G30" s="9" t="n">
        <f aca="false">E30*1.81818181818182</f>
        <v>1.81818181818182</v>
      </c>
      <c r="H30" s="9" t="n">
        <f aca="false">C30*G30</f>
        <v>56.224167622059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100</v>
      </c>
      <c r="D31" s="7" t="s">
        <v>40</v>
      </c>
      <c r="E31" s="9" t="n">
        <v>1.25</v>
      </c>
      <c r="F31" s="9" t="n">
        <f aca="false">C31*E31</f>
        <v>125</v>
      </c>
      <c r="G31" s="9" t="n">
        <f aca="false">E31*1.81818181818182</f>
        <v>2.27272727272727</v>
      </c>
      <c r="H31" s="9" t="n">
        <f aca="false">C31*G31</f>
        <v>227.272727272727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60</v>
      </c>
      <c r="D32" s="7" t="s">
        <v>40</v>
      </c>
      <c r="E32" s="9" t="n">
        <v>0.85</v>
      </c>
      <c r="F32" s="9" t="n">
        <f aca="false">C32*E32</f>
        <v>51</v>
      </c>
      <c r="G32" s="9" t="n">
        <f aca="false">E32*1.81818181818182</f>
        <v>1.54545454545455</v>
      </c>
      <c r="H32" s="9" t="n">
        <f aca="false">C32*G32</f>
        <v>92.7272727272727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160</v>
      </c>
      <c r="D33" s="7" t="s">
        <v>40</v>
      </c>
      <c r="E33" s="9" t="n">
        <v>0.15</v>
      </c>
      <c r="F33" s="9" t="n">
        <f aca="false">C33*E33</f>
        <v>24</v>
      </c>
      <c r="G33" s="9" t="n">
        <f aca="false">E33*1.81818181818182</f>
        <v>0.272727272727273</v>
      </c>
      <c r="H33" s="9" t="n">
        <f aca="false">C33*G33</f>
        <v>43.6363636363636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672</v>
      </c>
      <c r="D34" s="7" t="s">
        <v>40</v>
      </c>
      <c r="E34" s="9" t="n">
        <v>0.15</v>
      </c>
      <c r="F34" s="9" t="n">
        <f aca="false">C34*E34</f>
        <v>100.8</v>
      </c>
      <c r="G34" s="9" t="n">
        <f aca="false">E34*1.81818181818182</f>
        <v>0.272727272727273</v>
      </c>
      <c r="H34" s="9" t="n">
        <f aca="false">C34*G34</f>
        <v>183.272727272727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16</v>
      </c>
      <c r="F35" s="9" t="n">
        <f aca="false">C35*E35</f>
        <v>256</v>
      </c>
      <c r="G35" s="9" t="n">
        <f aca="false">E35*1.81818181818182</f>
        <v>29.0909090909091</v>
      </c>
      <c r="H35" s="9" t="n">
        <f aca="false">C35*G35</f>
        <v>465.454545454545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40</v>
      </c>
      <c r="D36" s="7" t="s">
        <v>40</v>
      </c>
      <c r="E36" s="9" t="n">
        <v>1.5</v>
      </c>
      <c r="F36" s="9" t="n">
        <f aca="false">C36*E36</f>
        <v>60</v>
      </c>
      <c r="G36" s="9" t="n">
        <f aca="false">E36*1.81818181818182</f>
        <v>2.72727272727273</v>
      </c>
      <c r="H36" s="9" t="n">
        <f aca="false">C36*G36</f>
        <v>109.090909090909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28</v>
      </c>
      <c r="D38" s="7" t="s">
        <v>76</v>
      </c>
      <c r="E38" s="9" t="n">
        <v>12</v>
      </c>
      <c r="F38" s="9" t="n">
        <f aca="false">C38*E38</f>
        <v>336</v>
      </c>
      <c r="G38" s="9" t="n">
        <f aca="false">E38*1.81818181818182</f>
        <v>21.8181818181818</v>
      </c>
      <c r="H38" s="9" t="n">
        <f aca="false">C38*G38</f>
        <v>610.909090909091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18097.2931687685</v>
      </c>
      <c r="H40" s="13" t="n">
        <f aca="false">SUM(H8:H39)</f>
        <v>32904.169397761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2026-02-15T01:49:02Z</dcterms:created>
  <dc:creator>openpyxl</dc:creator>
  <dc:description/>
  <dc:language>en-US</dc:language>
  <cp:lastModifiedBy/>
  <dcterms:modified xsi:type="dcterms:W3CDTF">2026-02-15T01:49:02Z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