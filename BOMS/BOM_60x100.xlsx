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B 10ft" sheetId="2" state="visible" r:id="rId4"/>
    <sheet name="PB 12ft" sheetId="3" state="visible" r:id="rId5"/>
    <sheet name="PB 14ft" sheetId="4" state="visible" r:id="rId6"/>
    <sheet name="PB 16ft" sheetId="5" state="visible" r:id="rId7"/>
    <sheet name="PB 20ft" sheetId="6" state="visible" r:id="rId8"/>
    <sheet name="IB 10ft" sheetId="7" state="visible" r:id="rId9"/>
    <sheet name="IB 12ft" sheetId="8" state="visible" r:id="rId10"/>
    <sheet name="IB 14ft" sheetId="9" state="visible" r:id="rId11"/>
    <sheet name="IB 16ft" sheetId="10" state="visible" r:id="rId12"/>
    <sheet name="IB 20f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<sst xmlns="http://schemas.openxmlformats.org/spreadsheetml/2006/main" count="1087" uniqueCount="113">
  <si>
    <t xml:space="preserve">BOM Summary - 60x100 ft Building</t>
  </si>
  <si>
    <t xml:space="preserve">Configuration</t>
  </si>
  <si>
    <t xml:space="preserve">Building Type</t>
  </si>
  <si>
    <t xml:space="preserve">Eave Height</t>
  </si>
  <si>
    <t xml:space="preserve">Total Internal Cost</t>
  </si>
  <si>
    <t xml:space="preserve">Total Selling Price</t>
  </si>
  <si>
    <t xml:space="preserve">Overall Margin %</t>
  </si>
  <si>
    <t xml:space="preserve">PB 10ft</t>
  </si>
  <si>
    <t xml:space="preserve">Pole Barn</t>
  </si>
  <si>
    <t xml:space="preserve">10'</t>
  </si>
  <si>
    <t xml:space="preserve">PB 12ft</t>
  </si>
  <si>
    <t xml:space="preserve">12'</t>
  </si>
  <si>
    <t xml:space="preserve">PB 14ft</t>
  </si>
  <si>
    <t xml:space="preserve">14'</t>
  </si>
  <si>
    <t xml:space="preserve">PB 16ft</t>
  </si>
  <si>
    <t xml:space="preserve">16'</t>
  </si>
  <si>
    <t xml:space="preserve">PB 20ft</t>
  </si>
  <si>
    <t xml:space="preserve">20'</t>
  </si>
  <si>
    <t xml:space="preserve">IB 10ft</t>
  </si>
  <si>
    <t xml:space="preserve">I-Beam</t>
  </si>
  <si>
    <t xml:space="preserve">IB 12ft</t>
  </si>
  <si>
    <t xml:space="preserve">IB 14ft</t>
  </si>
  <si>
    <t xml:space="preserve">IB 16ft</t>
  </si>
  <si>
    <t xml:space="preserve">IB 20ft</t>
  </si>
  <si>
    <t xml:space="preserve">Metal Building BOM - 60x100 - PB 10ft</t>
  </si>
  <si>
    <t xml:space="preserve">Building Size: 60x100 ft</t>
  </si>
  <si>
    <t xml:space="preserve">Eave Height: 10 ft</t>
  </si>
  <si>
    <t xml:space="preserve">Building Type: Pole Barn</t>
  </si>
  <si>
    <t xml:space="preserve">Generated: 02/15/2026</t>
  </si>
  <si>
    <t xml:space="preserve">Category</t>
  </si>
  <si>
    <t xml:space="preserve">Description</t>
  </si>
  <si>
    <t xml:space="preserve">Qty</t>
  </si>
  <si>
    <t xml:space="preserve">Unit</t>
  </si>
  <si>
    <t xml:space="preserve">Unit Cost</t>
  </si>
  <si>
    <t xml:space="preserve">Total Cost</t>
  </si>
  <si>
    <t xml:space="preserve">Selling Price Unit</t>
  </si>
  <si>
    <t xml:space="preserve">Total Selling</t>
  </si>
  <si>
    <t xml:space="preserve">Margin %</t>
  </si>
  <si>
    <t xml:space="preserve">STRUCTURAL FRAME</t>
  </si>
  <si>
    <t xml:space="preserve">4" Square Tube Posts, 13' long (10' eave + 3' embed)</t>
  </si>
  <si>
    <t xml:space="preserve">ea</t>
  </si>
  <si>
    <t xml:space="preserve">Welded Trusses (Pole Barn), 60' span, 3:12 pitch (incl. height reinforcement)</t>
  </si>
  <si>
    <t xml:space="preserve">Eave Struts, C-section, 3/16" thick</t>
  </si>
  <si>
    <t xml:space="preserve">lf</t>
  </si>
  <si>
    <t xml:space="preserve">Cross Bracing Rod Sets (4x4 main, smaller secondary rods)</t>
  </si>
  <si>
    <t xml:space="preserve">sets</t>
  </si>
  <si>
    <t xml:space="preserve">Base Plates &amp; Anchor Bolt Sets (drilled, 22 per building)</t>
  </si>
  <si>
    <t xml:space="preserve">SECONDARY FRAMING</t>
  </si>
  <si>
    <t xml:space="preserve">Roof Purlins (C-purlin, 5' OC spacing)</t>
  </si>
  <si>
    <t xml:space="preserve">Wall Girts (C/Z-girt, 5' OC spacing, height-dependent rows)</t>
  </si>
  <si>
    <t xml:space="preserve">ROOFING SYSTEM</t>
  </si>
  <si>
    <t xml:space="preserve">26ga Corrugated Roof Panels (red, 3' coverage)</t>
  </si>
  <si>
    <t xml:space="preserve">panels</t>
  </si>
  <si>
    <t xml:space="preserve">Ridge Cap (26ga, painted to match)</t>
  </si>
  <si>
    <t xml:space="preserve">Ridge Closure Strips (foam, 3' length)</t>
  </si>
  <si>
    <t xml:space="preserve">Roof Panel Screws (1-5/8", TEK, w/washers &amp; sealant)</t>
  </si>
  <si>
    <t xml:space="preserve">WALL SYSTEM</t>
  </si>
  <si>
    <t xml:space="preserve">26ga Corrugated Wall Panels (10' tall, red, 3' coverage)</t>
  </si>
  <si>
    <t xml:space="preserve">Gable End Panels (triangular, 26ga, partial panels)</t>
  </si>
  <si>
    <t xml:space="preserve">Wall Panel Screws (1", TEK, w/washers &amp; sealant)</t>
  </si>
  <si>
    <t xml:space="preserve">Gable Closure Strips (foam, 4' length)</t>
  </si>
  <si>
    <t xml:space="preserve">TRIM &amp; FLASHING</t>
  </si>
  <si>
    <t xml:space="preserve">Eave Trim (aluminum, 10' lengths)</t>
  </si>
  <si>
    <t xml:space="preserve">Gable Trim (aluminum edge, both gables)</t>
  </si>
  <si>
    <t xml:space="preserve">Corner Trim (vertical posts, 4 corners, height-dependent)</t>
  </si>
  <si>
    <t xml:space="preserve">Base/Rat Guard Trim (aluminum, 1' height)</t>
  </si>
  <si>
    <t xml:space="preserve">Drip Edge / Eave Closure (metal, 10' lengths)</t>
  </si>
  <si>
    <t xml:space="preserve">Peak Trim / Closure (metal, ridge-mounted)</t>
  </si>
  <si>
    <t xml:space="preserve">HARDWARE &amp; FASTENERS</t>
  </si>
  <si>
    <t xml:space="preserve">Structural Bolts (3/4", Grade 8, w/nuts &amp; washers)</t>
  </si>
  <si>
    <t xml:space="preserve">Anchor Bolts (3/4", Grade 8, height-dependent qty)</t>
  </si>
  <si>
    <t xml:space="preserve">TEK Screws for Purlins (1", purlin-to-frame)</t>
  </si>
  <si>
    <t xml:space="preserve">TEK Screws for Girts (1", girt-to-frame, height-dependent)</t>
  </si>
  <si>
    <t xml:space="preserve">Sealant/Caulk (paintable, 1-gallon containers)</t>
  </si>
  <si>
    <t xml:space="preserve">gal</t>
  </si>
  <si>
    <t xml:space="preserve">Butyl Tape (wall panel sealing, 1-roll boxes)</t>
  </si>
  <si>
    <t xml:space="preserve">rolls</t>
  </si>
  <si>
    <t xml:space="preserve">General Hardware Kit (clips, brackets, misc bolts/screws)</t>
  </si>
  <si>
    <t xml:space="preserve">kit</t>
  </si>
  <si>
    <t xml:space="preserve">TOTALS</t>
  </si>
  <si>
    <t xml:space="preserve">Metal Building BOM - 60x100 - PB 12ft</t>
  </si>
  <si>
    <t xml:space="preserve">Eave Height: 12 ft</t>
  </si>
  <si>
    <t xml:space="preserve">4" Square Tube Posts, 15' long (12' eave + 3' embed)</t>
  </si>
  <si>
    <t xml:space="preserve">26ga Corrugated Wall Panels (12' tall, red, 3' coverage)</t>
  </si>
  <si>
    <t xml:space="preserve">Metal Building BOM - 60x100 - PB 14ft</t>
  </si>
  <si>
    <t xml:space="preserve">Eave Height: 14 ft</t>
  </si>
  <si>
    <t xml:space="preserve">4"x4"x3/16" Posts, 17' long (14' eave + 3' embed)</t>
  </si>
  <si>
    <t xml:space="preserve">Flange Braces / Sag Rods (per bay)</t>
  </si>
  <si>
    <t xml:space="preserve">26ga Corrugated Wall Panels (14' tall, red, 3' coverage)</t>
  </si>
  <si>
    <t xml:space="preserve">Fly Braces / Knee Braces (welded, per bay, height-dependent)</t>
  </si>
  <si>
    <t xml:space="preserve">Metal Building BOM - 60x100 - PB 16ft</t>
  </si>
  <si>
    <t xml:space="preserve">Eave Height: 16 ft</t>
  </si>
  <si>
    <t xml:space="preserve">6"x6"x3/16" Posts, 19' long (16' eave + 3' embed)</t>
  </si>
  <si>
    <t xml:space="preserve">Portal Frame Bracing Kits (wind resistance, welded)</t>
  </si>
  <si>
    <t xml:space="preserve">kits</t>
  </si>
  <si>
    <t xml:space="preserve">26ga Corrugated Wall Panels (16' tall, red, 3' coverage)</t>
  </si>
  <si>
    <t xml:space="preserve">DTI Washers (Turn-of-Nut, structural connections)</t>
  </si>
  <si>
    <t xml:space="preserve">Metal Building BOM - 60x100 - PB 20ft</t>
  </si>
  <si>
    <t xml:space="preserve">Eave Height: 20 ft</t>
  </si>
  <si>
    <t xml:space="preserve">6"x6"x3/16" Posts, 23' long (20' eave + 3' embed)</t>
  </si>
  <si>
    <t xml:space="preserve">26ga Corrugated Wall Panels (20' tall, red, 3' coverage)</t>
  </si>
  <si>
    <t xml:space="preserve">Metal Building BOM - 60x100 - IB 10ft</t>
  </si>
  <si>
    <t xml:space="preserve">Building Type: I-Beam</t>
  </si>
  <si>
    <t xml:space="preserve">I-Beam Columns, 10' tall, mounted to slab</t>
  </si>
  <si>
    <t xml:space="preserve">I-Beam Rafters, 60' span, 3:12 pitch (incl. height reinforcement)</t>
  </si>
  <si>
    <t xml:space="preserve">Metal Building BOM - 60x100 - IB 12ft</t>
  </si>
  <si>
    <t xml:space="preserve">I-Beam Columns, 12' tall, mounted to slab</t>
  </si>
  <si>
    <t xml:space="preserve">Metal Building BOM - 60x100 - IB 14ft</t>
  </si>
  <si>
    <t xml:space="preserve">I-Beam Columns, 14' tall, mounted to slab</t>
  </si>
  <si>
    <t xml:space="preserve">Metal Building BOM - 60x100 - IB 16ft</t>
  </si>
  <si>
    <t xml:space="preserve">I-Beam Columns, 16' tall, mounted to slab</t>
  </si>
  <si>
    <t xml:space="preserve">Metal Building BOM - 60x100 - IB 20ft</t>
  </si>
  <si>
    <t xml:space="preserve">I-Beam Columns, 20' tall, mounted to slab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</si>
</sst>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\%"/>
    <numFmt numFmtId="167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26.8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s">
        <v>9</v>
      </c>
      <c r="D4" s="3" t="n">
        <f aca="false">SUMIF('PB 10ft'!A:A,"&lt;&gt;TOTALS",'PB 10ft'!F:F)</f>
        <v>40120.1863375371</v>
      </c>
      <c r="E4" s="3" t="n">
        <f aca="false">SUMIF('PB 10ft'!A:A,"&lt;&gt;TOTALS",'PB 10ft'!H:H)</f>
        <v>72945.7933409765</v>
      </c>
      <c r="F4" s="4" t="n">
        <f aca="false">(E4-D4)/E4*100</f>
        <v>45</v>
      </c>
    </row>
    <row r="5" customFormat="false" ht="15" hidden="false" customHeight="false" outlineLevel="0" collapsed="false">
      <c r="A5" s="0" t="s">
        <v>10</v>
      </c>
      <c r="B5" s="0" t="s">
        <v>8</v>
      </c>
      <c r="C5" s="0" t="s">
        <v>11</v>
      </c>
      <c r="D5" s="3" t="n">
        <f aca="false">SUMIF('PB 12ft'!A:A,"&lt;&gt;TOTALS",'PB 12ft'!F:F)</f>
        <v>42625.4863375371</v>
      </c>
      <c r="E5" s="3" t="n">
        <f aca="false">SUMIF('PB 12ft'!A:A,"&lt;&gt;TOTALS",'PB 12ft'!H:H)</f>
        <v>77500.8842500674</v>
      </c>
      <c r="F5" s="4" t="n">
        <f aca="false">(E5-D5)/E5*100</f>
        <v>45</v>
      </c>
    </row>
    <row r="6" customFormat="false" ht="15" hidden="false" customHeight="false" outlineLevel="0" collapsed="false">
      <c r="A6" s="0" t="s">
        <v>12</v>
      </c>
      <c r="B6" s="0" t="s">
        <v>8</v>
      </c>
      <c r="C6" s="0" t="s">
        <v>13</v>
      </c>
      <c r="D6" s="3" t="n">
        <f aca="false">SUMIF('PB 14ft'!A:A,"&lt;&gt;TOTALS",'PB 14ft'!F:F)</f>
        <v>44341.1863375371</v>
      </c>
      <c r="E6" s="3" t="n">
        <f aca="false">SUMIF('PB 14ft'!A:A,"&lt;&gt;TOTALS",'PB 14ft'!H:H)</f>
        <v>80620.3387955219</v>
      </c>
      <c r="F6" s="4" t="n">
        <f aca="false">(E6-D6)/E6*100</f>
        <v>45</v>
      </c>
    </row>
    <row r="7" customFormat="false" ht="15" hidden="false" customHeight="false" outlineLevel="0" collapsed="false">
      <c r="A7" s="0" t="s">
        <v>14</v>
      </c>
      <c r="B7" s="0" t="s">
        <v>8</v>
      </c>
      <c r="C7" s="0" t="s">
        <v>15</v>
      </c>
      <c r="D7" s="3" t="n">
        <f aca="false">SUMIF('PB 16ft'!A:A,"&lt;&gt;TOTALS",'PB 16ft'!F:F)</f>
        <v>50783.8863375371</v>
      </c>
      <c r="E7" s="3" t="n">
        <f aca="false">SUMIF('PB 16ft'!A:A,"&lt;&gt;TOTALS",'PB 16ft'!H:H)</f>
        <v>92334.3387955219</v>
      </c>
      <c r="F7" s="4" t="n">
        <f aca="false">(E7-D7)/E7*100</f>
        <v>45</v>
      </c>
    </row>
    <row r="8" customFormat="false" ht="15" hidden="false" customHeight="false" outlineLevel="0" collapsed="false">
      <c r="A8" s="0" t="s">
        <v>16</v>
      </c>
      <c r="B8" s="0" t="s">
        <v>8</v>
      </c>
      <c r="C8" s="0" t="s">
        <v>17</v>
      </c>
      <c r="D8" s="3" t="n">
        <f aca="false">SUMIF('PB 20ft'!A:A,"&lt;&gt;TOTALS",'PB 20ft'!F:F)</f>
        <v>57486.7863375371</v>
      </c>
      <c r="E8" s="3" t="n">
        <f aca="false">SUMIF('PB 20ft'!A:A,"&lt;&gt;TOTALS",'PB 20ft'!H:H)</f>
        <v>104521.429704613</v>
      </c>
      <c r="F8" s="4" t="n">
        <f aca="false">(E8-D8)/E8*100</f>
        <v>45</v>
      </c>
    </row>
    <row r="9" customFormat="false" ht="15" hidden="false" customHeight="false" outlineLevel="0" collapsed="false">
      <c r="A9" s="0" t="s">
        <v>18</v>
      </c>
      <c r="B9" s="0" t="s">
        <v>19</v>
      </c>
      <c r="C9" s="0" t="s">
        <v>9</v>
      </c>
      <c r="D9" s="3" t="n">
        <f aca="false">SUMIF('IB 10ft'!A:A,"&lt;&gt;TOTALS",'IB 10ft'!F:F)</f>
        <v>34512.1863375371</v>
      </c>
      <c r="E9" s="3" t="n">
        <f aca="false">SUMIF('IB 10ft'!A:A,"&lt;&gt;TOTALS",'IB 10ft'!H:H)</f>
        <v>62749.4297046128</v>
      </c>
      <c r="F9" s="4" t="n">
        <f aca="false">(E9-D9)/E9*100</f>
        <v>45</v>
      </c>
    </row>
    <row r="10" customFormat="false" ht="15" hidden="false" customHeight="false" outlineLevel="0" collapsed="false">
      <c r="A10" s="0" t="s">
        <v>20</v>
      </c>
      <c r="B10" s="0" t="s">
        <v>19</v>
      </c>
      <c r="C10" s="0" t="s">
        <v>11</v>
      </c>
      <c r="D10" s="3" t="n">
        <f aca="false">SUMIF('IB 12ft'!A:A,"&lt;&gt;TOTALS",'IB 12ft'!F:F)</f>
        <v>37413.4863375371</v>
      </c>
      <c r="E10" s="3" t="n">
        <f aca="false">SUMIF('IB 12ft'!A:A,"&lt;&gt;TOTALS",'IB 12ft'!H:H)</f>
        <v>68024.5206137038</v>
      </c>
      <c r="F10" s="4" t="n">
        <f aca="false">(E10-D10)/E10*100</f>
        <v>45</v>
      </c>
    </row>
    <row r="11" customFormat="false" ht="15" hidden="false" customHeight="false" outlineLevel="0" collapsed="false">
      <c r="A11" s="0" t="s">
        <v>21</v>
      </c>
      <c r="B11" s="0" t="s">
        <v>19</v>
      </c>
      <c r="C11" s="0" t="s">
        <v>13</v>
      </c>
      <c r="D11" s="3" t="n">
        <f aca="false">SUMIF('IB 14ft'!A:A,"&lt;&gt;TOTALS",'IB 14ft'!F:F)</f>
        <v>39635.1863375371</v>
      </c>
      <c r="E11" s="3" t="n">
        <f aca="false">SUMIF('IB 14ft'!A:A,"&lt;&gt;TOTALS",'IB 14ft'!H:H)</f>
        <v>72063.9751591583</v>
      </c>
      <c r="F11" s="4" t="n">
        <f aca="false">(E11-D11)/E11*100</f>
        <v>45</v>
      </c>
    </row>
    <row r="12" customFormat="false" ht="15" hidden="false" customHeight="false" outlineLevel="0" collapsed="false">
      <c r="A12" s="0" t="s">
        <v>22</v>
      </c>
      <c r="B12" s="0" t="s">
        <v>19</v>
      </c>
      <c r="C12" s="0" t="s">
        <v>15</v>
      </c>
      <c r="D12" s="3" t="n">
        <f aca="false">SUMIF('IB 16ft'!A:A,"&lt;&gt;TOTALS",'IB 16ft'!F:F)</f>
        <v>45568.8863375371</v>
      </c>
      <c r="E12" s="3" t="n">
        <f aca="false">SUMIF('IB 16ft'!A:A,"&lt;&gt;TOTALS",'IB 16ft'!H:H)</f>
        <v>82852.5206137037</v>
      </c>
      <c r="F12" s="4" t="n">
        <f aca="false">(E12-D12)/E12*100</f>
        <v>45</v>
      </c>
    </row>
    <row r="13" customFormat="false" ht="15" hidden="false" customHeight="false" outlineLevel="0" collapsed="false">
      <c r="A13" s="0" t="s">
        <v>23</v>
      </c>
      <c r="B13" s="0" t="s">
        <v>19</v>
      </c>
      <c r="C13" s="0" t="s">
        <v>17</v>
      </c>
      <c r="D13" s="3" t="n">
        <f aca="false">SUMIF('IB 20ft'!A:A,"&lt;&gt;TOTALS",'IB 20ft'!F:F)</f>
        <v>52510.7863375371</v>
      </c>
      <c r="E13" s="3" t="n">
        <f aca="false">SUMIF('IB 20ft'!A:A,"&lt;&gt;TOTALS",'IB 20ft'!H:H)</f>
        <v>95474.1569773401</v>
      </c>
      <c r="F13" s="4" t="n">
        <f aca="false">(E13-D13)/E13*100</f>
        <v>45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24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39</v>
      </c>
      <c r="C8" s="8" t="n">
        <v>22</v>
      </c>
      <c r="D8" s="7" t="s">
        <v>40</v>
      </c>
      <c r="E8" s="9" t="n">
        <v>45</v>
      </c>
      <c r="F8" s="9" t="n">
        <f aca="false">C8*E8</f>
        <v>990</v>
      </c>
      <c r="G8" s="9" t="n">
        <f aca="false">E8*1.81818181818182</f>
        <v>81.8181818181818</v>
      </c>
      <c r="H8" s="9" t="n">
        <f aca="false">C8*G8</f>
        <v>1800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25</v>
      </c>
      <c r="D9" s="7" t="s">
        <v>40</v>
      </c>
      <c r="E9" s="9" t="n">
        <v>650</v>
      </c>
      <c r="F9" s="9" t="n">
        <f aca="false">C9*E9</f>
        <v>16250</v>
      </c>
      <c r="G9" s="9" t="n">
        <f aca="false">E9*1.81818181818182</f>
        <v>1181.81818181818</v>
      </c>
      <c r="H9" s="9" t="n">
        <f aca="false">C9*G9</f>
        <v>29545.4545454545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2.5</v>
      </c>
      <c r="F10" s="9" t="n">
        <f aca="false">C10*E10</f>
        <v>800</v>
      </c>
      <c r="G10" s="9" t="n">
        <f aca="false">E10*1.81818181818182</f>
        <v>4.54545454545455</v>
      </c>
      <c r="H10" s="9" t="n">
        <f aca="false">C10*G10</f>
        <v>1454.54545454545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22</v>
      </c>
      <c r="D12" s="7" t="s">
        <v>40</v>
      </c>
      <c r="E12" s="9" t="n">
        <v>12</v>
      </c>
      <c r="F12" s="9" t="n">
        <f aca="false">C12*E12</f>
        <v>264</v>
      </c>
      <c r="G12" s="9" t="n">
        <f aca="false">E12*1.81818181818182</f>
        <v>21.8181818181818</v>
      </c>
      <c r="H12" s="9" t="n">
        <f aca="false">C12*G12</f>
        <v>480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1400</v>
      </c>
      <c r="D13" s="7" t="s">
        <v>43</v>
      </c>
      <c r="E13" s="9" t="n">
        <v>4.5</v>
      </c>
      <c r="F13" s="9" t="n">
        <f aca="false">C13*E13</f>
        <v>6300</v>
      </c>
      <c r="G13" s="9" t="n">
        <f aca="false">E13*1.81818181818182</f>
        <v>8.18181818181818</v>
      </c>
      <c r="H13" s="9" t="n">
        <f aca="false">C13*G13</f>
        <v>11454.5454545455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640</v>
      </c>
      <c r="D14" s="7" t="s">
        <v>43</v>
      </c>
      <c r="E14" s="9" t="n">
        <v>3.5</v>
      </c>
      <c r="F14" s="9" t="n">
        <f aca="false">C14*E14</f>
        <v>2240</v>
      </c>
      <c r="G14" s="9" t="n">
        <f aca="false">E14*1.81818181818182</f>
        <v>6.36363636363636</v>
      </c>
      <c r="H14" s="9" t="n">
        <f aca="false">C14*G14</f>
        <v>4072.72727272727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68</v>
      </c>
      <c r="D15" s="7" t="s">
        <v>52</v>
      </c>
      <c r="E15" s="9" t="n">
        <v>86</v>
      </c>
      <c r="F15" s="9" t="n">
        <f aca="false">C15*E15</f>
        <v>5848</v>
      </c>
      <c r="G15" s="9" t="n">
        <f aca="false">E15*1.81818181818182</f>
        <v>156.363636363636</v>
      </c>
      <c r="H15" s="9" t="n">
        <f aca="false">C15*G15</f>
        <v>10632.7272727273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100</v>
      </c>
      <c r="D16" s="7" t="s">
        <v>43</v>
      </c>
      <c r="E16" s="9" t="n">
        <v>1.5</v>
      </c>
      <c r="F16" s="9" t="n">
        <f aca="false">C16*E16</f>
        <v>150</v>
      </c>
      <c r="G16" s="9" t="n">
        <f aca="false">E16*1.81818181818182</f>
        <v>2.72727272727273</v>
      </c>
      <c r="H16" s="9" t="n">
        <f aca="false">C16*G16</f>
        <v>272.727272727273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68</v>
      </c>
      <c r="D17" s="7" t="s">
        <v>40</v>
      </c>
      <c r="E17" s="9" t="n">
        <v>2</v>
      </c>
      <c r="F17" s="9" t="n">
        <f aca="false">C17*E17</f>
        <v>136</v>
      </c>
      <c r="G17" s="9" t="n">
        <f aca="false">E17*1.81818181818182</f>
        <v>3.63636363636364</v>
      </c>
      <c r="H17" s="9" t="n">
        <f aca="false">C17*G17</f>
        <v>247.272727272727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1360</v>
      </c>
      <c r="D18" s="7" t="s">
        <v>40</v>
      </c>
      <c r="E18" s="9" t="n">
        <v>0.18</v>
      </c>
      <c r="F18" s="9" t="n">
        <f aca="false">C18*E18</f>
        <v>244.8</v>
      </c>
      <c r="G18" s="9" t="n">
        <f aca="false">E18*1.81818181818182</f>
        <v>0.327272727272727</v>
      </c>
      <c r="H18" s="9" t="n">
        <f aca="false">C18*G18</f>
        <v>445.090909090909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107</v>
      </c>
      <c r="D19" s="7" t="s">
        <v>52</v>
      </c>
      <c r="E19" s="9" t="n">
        <v>35</v>
      </c>
      <c r="F19" s="9" t="n">
        <f aca="false">C19*E19</f>
        <v>3745</v>
      </c>
      <c r="G19" s="9" t="n">
        <f aca="false">E19*1.81818181818182</f>
        <v>63.6363636363636</v>
      </c>
      <c r="H19" s="9" t="n">
        <f aca="false">C19*G19</f>
        <v>6809.09090909091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1600</v>
      </c>
      <c r="D21" s="7" t="s">
        <v>40</v>
      </c>
      <c r="E21" s="9" t="n">
        <v>0.16</v>
      </c>
      <c r="F21" s="9" t="n">
        <f aca="false">C21*E21</f>
        <v>256</v>
      </c>
      <c r="G21" s="9" t="n">
        <f aca="false">E21*1.81818181818182</f>
        <v>0.290909090909091</v>
      </c>
      <c r="H21" s="9" t="n">
        <f aca="false">C21*G21</f>
        <v>465.454545454545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200</v>
      </c>
      <c r="D23" s="7" t="s">
        <v>43</v>
      </c>
      <c r="E23" s="9" t="n">
        <v>1.25</v>
      </c>
      <c r="F23" s="9" t="n">
        <f aca="false">C23*E23</f>
        <v>250</v>
      </c>
      <c r="G23" s="9" t="n">
        <f aca="false">E23*1.81818181818182</f>
        <v>2.27272727272727</v>
      </c>
      <c r="H23" s="9" t="n">
        <f aca="false">C23*G23</f>
        <v>454.545454545455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320</v>
      </c>
      <c r="D26" s="7" t="s">
        <v>43</v>
      </c>
      <c r="E26" s="9" t="n">
        <v>0.75</v>
      </c>
      <c r="F26" s="9" t="n">
        <f aca="false">C26*E26</f>
        <v>240</v>
      </c>
      <c r="G26" s="9" t="n">
        <f aca="false">E26*1.81818181818182</f>
        <v>1.36363636363636</v>
      </c>
      <c r="H26" s="9" t="n">
        <f aca="false">C26*G26</f>
        <v>436.363636363636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200</v>
      </c>
      <c r="D27" s="7" t="s">
        <v>43</v>
      </c>
      <c r="E27" s="9" t="n">
        <v>0.85</v>
      </c>
      <c r="F27" s="9" t="n">
        <f aca="false">C27*E27</f>
        <v>170</v>
      </c>
      <c r="G27" s="9" t="n">
        <f aca="false">E27*1.81818181818182</f>
        <v>1.54545454545455</v>
      </c>
      <c r="H27" s="9" t="n">
        <f aca="false">C27*G27</f>
        <v>309.090909090909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88</v>
      </c>
      <c r="D29" s="7" t="s">
        <v>40</v>
      </c>
      <c r="E29" s="9" t="n">
        <v>1.25</v>
      </c>
      <c r="F29" s="9" t="n">
        <f aca="false">C29*E29</f>
        <v>110</v>
      </c>
      <c r="G29" s="9" t="n">
        <f aca="false">E29*1.81818181818182</f>
        <v>2.27272727272727</v>
      </c>
      <c r="H29" s="9" t="n">
        <f aca="false">C29*G29</f>
        <v>200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88</v>
      </c>
      <c r="D30" s="7" t="s">
        <v>40</v>
      </c>
      <c r="E30" s="9" t="n">
        <v>0.85</v>
      </c>
      <c r="F30" s="9" t="n">
        <f aca="false">C30*E30</f>
        <v>74.8</v>
      </c>
      <c r="G30" s="9" t="n">
        <f aca="false">E30*1.81818181818182</f>
        <v>1.54545454545455</v>
      </c>
      <c r="H30" s="9" t="n">
        <f aca="false">C30*G30</f>
        <v>136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700</v>
      </c>
      <c r="D31" s="7" t="s">
        <v>40</v>
      </c>
      <c r="E31" s="9" t="n">
        <v>0.15</v>
      </c>
      <c r="F31" s="9" t="n">
        <f aca="false">C31*E31</f>
        <v>105</v>
      </c>
      <c r="G31" s="9" t="n">
        <f aca="false">E31*1.81818181818182</f>
        <v>0.272727272727273</v>
      </c>
      <c r="H31" s="9" t="n">
        <f aca="false">C31*G31</f>
        <v>190.909090909091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768</v>
      </c>
      <c r="D32" s="7" t="s">
        <v>40</v>
      </c>
      <c r="E32" s="9" t="n">
        <v>0.15</v>
      </c>
      <c r="F32" s="9" t="n">
        <f aca="false">C32*E32</f>
        <v>115.2</v>
      </c>
      <c r="G32" s="9" t="n">
        <f aca="false">E32*1.81818181818182</f>
        <v>0.272727272727273</v>
      </c>
      <c r="H32" s="9" t="n">
        <f aca="false">C32*G32</f>
        <v>209.454545454545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32</v>
      </c>
      <c r="D34" s="7" t="s">
        <v>76</v>
      </c>
      <c r="E34" s="9" t="n">
        <v>12</v>
      </c>
      <c r="F34" s="9" t="n">
        <f aca="false">C34*E34</f>
        <v>384</v>
      </c>
      <c r="G34" s="9" t="n">
        <f aca="false">E34*1.81818181818182</f>
        <v>21.8181818181818</v>
      </c>
      <c r="H34" s="9" t="n">
        <f aca="false">C34*G34</f>
        <v>698.181818181818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40120.1863375371</v>
      </c>
      <c r="H36" s="13" t="n">
        <f aca="false">SUM(H8:H35)</f>
        <v>72945.7933409765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82</v>
      </c>
      <c r="C8" s="8" t="n">
        <v>22</v>
      </c>
      <c r="D8" s="7" t="s">
        <v>40</v>
      </c>
      <c r="E8" s="9" t="n">
        <v>54</v>
      </c>
      <c r="F8" s="9" t="n">
        <f aca="false">C8*E8</f>
        <v>1188</v>
      </c>
      <c r="G8" s="9" t="n">
        <f aca="false">E8*1.81818181818182</f>
        <v>98.1818181818182</v>
      </c>
      <c r="H8" s="9" t="n">
        <f aca="false">C8*G8</f>
        <v>2160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25</v>
      </c>
      <c r="D9" s="7" t="s">
        <v>40</v>
      </c>
      <c r="E9" s="9" t="n">
        <v>650</v>
      </c>
      <c r="F9" s="9" t="n">
        <f aca="false">C9*E9</f>
        <v>16250</v>
      </c>
      <c r="G9" s="9" t="n">
        <f aca="false">E9*1.81818181818182</f>
        <v>1181.81818181818</v>
      </c>
      <c r="H9" s="9" t="n">
        <f aca="false">C9*G9</f>
        <v>29545.4545454545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2.75</v>
      </c>
      <c r="F10" s="9" t="n">
        <f aca="false">C10*E10</f>
        <v>880</v>
      </c>
      <c r="G10" s="9" t="n">
        <f aca="false">E10*1.81818181818182</f>
        <v>5</v>
      </c>
      <c r="H10" s="9" t="n">
        <f aca="false">C10*G10</f>
        <v>1600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22</v>
      </c>
      <c r="D12" s="7" t="s">
        <v>40</v>
      </c>
      <c r="E12" s="9" t="n">
        <v>14</v>
      </c>
      <c r="F12" s="9" t="n">
        <f aca="false">C12*E12</f>
        <v>308</v>
      </c>
      <c r="G12" s="9" t="n">
        <f aca="false">E12*1.81818181818182</f>
        <v>25.4545454545455</v>
      </c>
      <c r="H12" s="9" t="n">
        <f aca="false">C12*G12</f>
        <v>560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1400</v>
      </c>
      <c r="D13" s="7" t="s">
        <v>43</v>
      </c>
      <c r="E13" s="9" t="n">
        <v>4.5</v>
      </c>
      <c r="F13" s="9" t="n">
        <f aca="false">C13*E13</f>
        <v>6300</v>
      </c>
      <c r="G13" s="9" t="n">
        <f aca="false">E13*1.81818181818182</f>
        <v>8.18181818181818</v>
      </c>
      <c r="H13" s="9" t="n">
        <f aca="false">C13*G13</f>
        <v>11454.5454545455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960</v>
      </c>
      <c r="D14" s="7" t="s">
        <v>43</v>
      </c>
      <c r="E14" s="9" t="n">
        <v>3.5</v>
      </c>
      <c r="F14" s="9" t="n">
        <f aca="false">C14*E14</f>
        <v>3360</v>
      </c>
      <c r="G14" s="9" t="n">
        <f aca="false">E14*1.81818181818182</f>
        <v>6.36363636363636</v>
      </c>
      <c r="H14" s="9" t="n">
        <f aca="false">C14*G14</f>
        <v>6109.09090909091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68</v>
      </c>
      <c r="D15" s="7" t="s">
        <v>52</v>
      </c>
      <c r="E15" s="9" t="n">
        <v>86</v>
      </c>
      <c r="F15" s="9" t="n">
        <f aca="false">C15*E15</f>
        <v>5848</v>
      </c>
      <c r="G15" s="9" t="n">
        <f aca="false">E15*1.81818181818182</f>
        <v>156.363636363636</v>
      </c>
      <c r="H15" s="9" t="n">
        <f aca="false">C15*G15</f>
        <v>10632.7272727273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100</v>
      </c>
      <c r="D16" s="7" t="s">
        <v>43</v>
      </c>
      <c r="E16" s="9" t="n">
        <v>1.5</v>
      </c>
      <c r="F16" s="9" t="n">
        <f aca="false">C16*E16</f>
        <v>150</v>
      </c>
      <c r="G16" s="9" t="n">
        <f aca="false">E16*1.81818181818182</f>
        <v>2.72727272727273</v>
      </c>
      <c r="H16" s="9" t="n">
        <f aca="false">C16*G16</f>
        <v>272.727272727273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68</v>
      </c>
      <c r="D17" s="7" t="s">
        <v>40</v>
      </c>
      <c r="E17" s="9" t="n">
        <v>2</v>
      </c>
      <c r="F17" s="9" t="n">
        <f aca="false">C17*E17</f>
        <v>136</v>
      </c>
      <c r="G17" s="9" t="n">
        <f aca="false">E17*1.81818181818182</f>
        <v>3.63636363636364</v>
      </c>
      <c r="H17" s="9" t="n">
        <f aca="false">C17*G17</f>
        <v>247.272727272727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1360</v>
      </c>
      <c r="D18" s="7" t="s">
        <v>40</v>
      </c>
      <c r="E18" s="9" t="n">
        <v>0.18</v>
      </c>
      <c r="F18" s="9" t="n">
        <f aca="false">C18*E18</f>
        <v>244.8</v>
      </c>
      <c r="G18" s="9" t="n">
        <f aca="false">E18*1.81818181818182</f>
        <v>0.327272727272727</v>
      </c>
      <c r="H18" s="9" t="n">
        <f aca="false">C18*G18</f>
        <v>445.090909090909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107</v>
      </c>
      <c r="D19" s="7" t="s">
        <v>52</v>
      </c>
      <c r="E19" s="9" t="n">
        <v>42</v>
      </c>
      <c r="F19" s="9" t="n">
        <f aca="false">C19*E19</f>
        <v>4494</v>
      </c>
      <c r="G19" s="9" t="n">
        <f aca="false">E19*1.81818181818182</f>
        <v>76.3636363636364</v>
      </c>
      <c r="H19" s="9" t="n">
        <f aca="false">C19*G19</f>
        <v>8170.90909090909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1920</v>
      </c>
      <c r="D21" s="7" t="s">
        <v>40</v>
      </c>
      <c r="E21" s="9" t="n">
        <v>0.16</v>
      </c>
      <c r="F21" s="9" t="n">
        <f aca="false">C21*E21</f>
        <v>307.2</v>
      </c>
      <c r="G21" s="9" t="n">
        <f aca="false">E21*1.81818181818182</f>
        <v>0.290909090909091</v>
      </c>
      <c r="H21" s="9" t="n">
        <f aca="false">C21*G21</f>
        <v>558.545454545455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200</v>
      </c>
      <c r="D23" s="7" t="s">
        <v>43</v>
      </c>
      <c r="E23" s="9" t="n">
        <v>1.25</v>
      </c>
      <c r="F23" s="9" t="n">
        <f aca="false">C23*E23</f>
        <v>250</v>
      </c>
      <c r="G23" s="9" t="n">
        <f aca="false">E23*1.81818181818182</f>
        <v>2.27272727272727</v>
      </c>
      <c r="H23" s="9" t="n">
        <f aca="false">C23*G23</f>
        <v>454.545454545455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320</v>
      </c>
      <c r="D26" s="7" t="s">
        <v>43</v>
      </c>
      <c r="E26" s="9" t="n">
        <v>0.75</v>
      </c>
      <c r="F26" s="9" t="n">
        <f aca="false">C26*E26</f>
        <v>240</v>
      </c>
      <c r="G26" s="9" t="n">
        <f aca="false">E26*1.81818181818182</f>
        <v>1.36363636363636</v>
      </c>
      <c r="H26" s="9" t="n">
        <f aca="false">C26*G26</f>
        <v>436.363636363636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200</v>
      </c>
      <c r="D27" s="7" t="s">
        <v>43</v>
      </c>
      <c r="E27" s="9" t="n">
        <v>0.85</v>
      </c>
      <c r="F27" s="9" t="n">
        <f aca="false">C27*E27</f>
        <v>170</v>
      </c>
      <c r="G27" s="9" t="n">
        <f aca="false">E27*1.81818181818182</f>
        <v>1.54545454545455</v>
      </c>
      <c r="H27" s="9" t="n">
        <f aca="false">C27*G27</f>
        <v>309.090909090909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110</v>
      </c>
      <c r="D29" s="7" t="s">
        <v>40</v>
      </c>
      <c r="E29" s="9" t="n">
        <v>1.25</v>
      </c>
      <c r="F29" s="9" t="n">
        <f aca="false">C29*E29</f>
        <v>137.5</v>
      </c>
      <c r="G29" s="9" t="n">
        <f aca="false">E29*1.81818181818182</f>
        <v>2.27272727272727</v>
      </c>
      <c r="H29" s="9" t="n">
        <f aca="false">C29*G29</f>
        <v>250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88</v>
      </c>
      <c r="D30" s="7" t="s">
        <v>40</v>
      </c>
      <c r="E30" s="9" t="n">
        <v>0.85</v>
      </c>
      <c r="F30" s="9" t="n">
        <f aca="false">C30*E30</f>
        <v>74.8</v>
      </c>
      <c r="G30" s="9" t="n">
        <f aca="false">E30*1.81818181818182</f>
        <v>1.54545454545455</v>
      </c>
      <c r="H30" s="9" t="n">
        <f aca="false">C30*G30</f>
        <v>136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700</v>
      </c>
      <c r="D31" s="7" t="s">
        <v>40</v>
      </c>
      <c r="E31" s="9" t="n">
        <v>0.15</v>
      </c>
      <c r="F31" s="9" t="n">
        <f aca="false">C31*E31</f>
        <v>105</v>
      </c>
      <c r="G31" s="9" t="n">
        <f aca="false">E31*1.81818181818182</f>
        <v>0.272727272727273</v>
      </c>
      <c r="H31" s="9" t="n">
        <f aca="false">C31*G31</f>
        <v>190.909090909091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1152</v>
      </c>
      <c r="D32" s="7" t="s">
        <v>40</v>
      </c>
      <c r="E32" s="9" t="n">
        <v>0.15</v>
      </c>
      <c r="F32" s="9" t="n">
        <f aca="false">C32*E32</f>
        <v>172.8</v>
      </c>
      <c r="G32" s="9" t="n">
        <f aca="false">E32*1.81818181818182</f>
        <v>0.272727272727273</v>
      </c>
      <c r="H32" s="9" t="n">
        <f aca="false">C32*G32</f>
        <v>314.181818181818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39</v>
      </c>
      <c r="D34" s="7" t="s">
        <v>76</v>
      </c>
      <c r="E34" s="9" t="n">
        <v>12</v>
      </c>
      <c r="F34" s="9" t="n">
        <f aca="false">C34*E34</f>
        <v>468</v>
      </c>
      <c r="G34" s="9" t="n">
        <f aca="false">E34*1.81818181818182</f>
        <v>21.8181818181818</v>
      </c>
      <c r="H34" s="9" t="n">
        <f aca="false">C34*G34</f>
        <v>850.909090909091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42625.4863375371</v>
      </c>
      <c r="H36" s="13" t="n">
        <f aca="false">SUM(H8:H35)</f>
        <v>77500.8842500674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84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86</v>
      </c>
      <c r="C8" s="8" t="n">
        <v>22</v>
      </c>
      <c r="D8" s="7" t="s">
        <v>40</v>
      </c>
      <c r="E8" s="9" t="n">
        <v>68</v>
      </c>
      <c r="F8" s="9" t="n">
        <f aca="false">C8*E8</f>
        <v>1496</v>
      </c>
      <c r="G8" s="9" t="n">
        <f aca="false">E8*1.81818181818182</f>
        <v>123.636363636364</v>
      </c>
      <c r="H8" s="9" t="n">
        <f aca="false">C8*G8</f>
        <v>2720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25</v>
      </c>
      <c r="D9" s="7" t="s">
        <v>40</v>
      </c>
      <c r="E9" s="9" t="n">
        <v>650</v>
      </c>
      <c r="F9" s="9" t="n">
        <f aca="false">C9*E9</f>
        <v>16250</v>
      </c>
      <c r="G9" s="9" t="n">
        <f aca="false">E9*1.81818181818182</f>
        <v>1181.81818181818</v>
      </c>
      <c r="H9" s="9" t="n">
        <f aca="false">C9*G9</f>
        <v>29545.4545454545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3</v>
      </c>
      <c r="F10" s="9" t="n">
        <f aca="false">C10*E10</f>
        <v>960</v>
      </c>
      <c r="G10" s="9" t="n">
        <f aca="false">E10*1.81818181818182</f>
        <v>5.45454545454545</v>
      </c>
      <c r="H10" s="9" t="n">
        <f aca="false">C10*G10</f>
        <v>1745.45454545455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22</v>
      </c>
      <c r="D12" s="7" t="s">
        <v>40</v>
      </c>
      <c r="E12" s="9" t="n">
        <v>16</v>
      </c>
      <c r="F12" s="9" t="n">
        <f aca="false">C12*E12</f>
        <v>352</v>
      </c>
      <c r="G12" s="9" t="n">
        <f aca="false">E12*1.81818181818182</f>
        <v>29.0909090909091</v>
      </c>
      <c r="H12" s="9" t="n">
        <f aca="false">C12*G12</f>
        <v>640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1400</v>
      </c>
      <c r="D13" s="7" t="s">
        <v>43</v>
      </c>
      <c r="E13" s="9" t="n">
        <v>4.5</v>
      </c>
      <c r="F13" s="9" t="n">
        <f aca="false">C13*E13</f>
        <v>6300</v>
      </c>
      <c r="G13" s="9" t="n">
        <f aca="false">E13*1.81818181818182</f>
        <v>8.18181818181818</v>
      </c>
      <c r="H13" s="9" t="n">
        <f aca="false">C13*G13</f>
        <v>11454.5454545455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960</v>
      </c>
      <c r="D14" s="7" t="s">
        <v>43</v>
      </c>
      <c r="E14" s="9" t="n">
        <v>3.5</v>
      </c>
      <c r="F14" s="9" t="n">
        <f aca="false">C14*E14</f>
        <v>3360</v>
      </c>
      <c r="G14" s="9" t="n">
        <f aca="false">E14*1.81818181818182</f>
        <v>6.36363636363636</v>
      </c>
      <c r="H14" s="9" t="n">
        <f aca="false">C14*G14</f>
        <v>6109.09090909091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10</v>
      </c>
      <c r="D15" s="7" t="s">
        <v>45</v>
      </c>
      <c r="E15" s="9" t="n">
        <v>8.5</v>
      </c>
      <c r="F15" s="9" t="n">
        <f aca="false">C15*E15</f>
        <v>85</v>
      </c>
      <c r="G15" s="9" t="n">
        <f aca="false">E15*1.81818181818182</f>
        <v>15.4545454545455</v>
      </c>
      <c r="H15" s="9" t="n">
        <f aca="false">C15*G15</f>
        <v>154.545454545455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68</v>
      </c>
      <c r="D16" s="7" t="s">
        <v>52</v>
      </c>
      <c r="E16" s="9" t="n">
        <v>86</v>
      </c>
      <c r="F16" s="9" t="n">
        <f aca="false">C16*E16</f>
        <v>5848</v>
      </c>
      <c r="G16" s="9" t="n">
        <f aca="false">E16*1.81818181818182</f>
        <v>156.363636363636</v>
      </c>
      <c r="H16" s="9" t="n">
        <f aca="false">C16*G16</f>
        <v>10632.7272727273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100</v>
      </c>
      <c r="D17" s="7" t="s">
        <v>43</v>
      </c>
      <c r="E17" s="9" t="n">
        <v>1.5</v>
      </c>
      <c r="F17" s="9" t="n">
        <f aca="false">C17*E17</f>
        <v>150</v>
      </c>
      <c r="G17" s="9" t="n">
        <f aca="false">E17*1.81818181818182</f>
        <v>2.72727272727273</v>
      </c>
      <c r="H17" s="9" t="n">
        <f aca="false">C17*G17</f>
        <v>272.727272727273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68</v>
      </c>
      <c r="D18" s="7" t="s">
        <v>40</v>
      </c>
      <c r="E18" s="9" t="n">
        <v>2</v>
      </c>
      <c r="F18" s="9" t="n">
        <f aca="false">C18*E18</f>
        <v>136</v>
      </c>
      <c r="G18" s="9" t="n">
        <f aca="false">E18*1.81818181818182</f>
        <v>3.63636363636364</v>
      </c>
      <c r="H18" s="9" t="n">
        <f aca="false">C18*G18</f>
        <v>247.272727272727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1360</v>
      </c>
      <c r="D19" s="7" t="s">
        <v>40</v>
      </c>
      <c r="E19" s="9" t="n">
        <v>0.18</v>
      </c>
      <c r="F19" s="9" t="n">
        <f aca="false">C19*E19</f>
        <v>244.8</v>
      </c>
      <c r="G19" s="9" t="n">
        <f aca="false">E19*1.81818181818182</f>
        <v>0.327272727272727</v>
      </c>
      <c r="H19" s="9" t="n">
        <f aca="false">C19*G19</f>
        <v>445.090909090909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107</v>
      </c>
      <c r="D20" s="7" t="s">
        <v>52</v>
      </c>
      <c r="E20" s="9" t="n">
        <v>49</v>
      </c>
      <c r="F20" s="9" t="n">
        <f aca="false">C20*E20</f>
        <v>5243</v>
      </c>
      <c r="G20" s="9" t="n">
        <f aca="false">E20*1.81818181818182</f>
        <v>89.0909090909091</v>
      </c>
      <c r="H20" s="9" t="n">
        <f aca="false">C20*G20</f>
        <v>9532.72727272727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40</v>
      </c>
      <c r="D21" s="7" t="s">
        <v>52</v>
      </c>
      <c r="E21" s="9" t="n">
        <v>18</v>
      </c>
      <c r="F21" s="9" t="n">
        <f aca="false">C21*E21</f>
        <v>720</v>
      </c>
      <c r="G21" s="9" t="n">
        <f aca="false">E21*1.81818181818182</f>
        <v>32.7272727272727</v>
      </c>
      <c r="H21" s="9" t="n">
        <f aca="false">C21*G21</f>
        <v>1309.09090909091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2240</v>
      </c>
      <c r="D22" s="7" t="s">
        <v>40</v>
      </c>
      <c r="E22" s="9" t="n">
        <v>0.16</v>
      </c>
      <c r="F22" s="9" t="n">
        <f aca="false">C22*E22</f>
        <v>358.4</v>
      </c>
      <c r="G22" s="9" t="n">
        <f aca="false">E22*1.81818181818182</f>
        <v>0.290909090909091</v>
      </c>
      <c r="H22" s="9" t="n">
        <f aca="false">C22*G22</f>
        <v>651.636363636364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14</v>
      </c>
      <c r="D23" s="7" t="s">
        <v>40</v>
      </c>
      <c r="E23" s="9" t="n">
        <v>2.5</v>
      </c>
      <c r="F23" s="9" t="n">
        <f aca="false">C23*E23</f>
        <v>35</v>
      </c>
      <c r="G23" s="9" t="n">
        <f aca="false">E23*1.81818181818182</f>
        <v>4.54545454545455</v>
      </c>
      <c r="H23" s="9" t="n">
        <f aca="false">C23*G23</f>
        <v>63.6363636363636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200</v>
      </c>
      <c r="D24" s="7" t="s">
        <v>43</v>
      </c>
      <c r="E24" s="9" t="n">
        <v>1.25</v>
      </c>
      <c r="F24" s="9" t="n">
        <f aca="false">C24*E24</f>
        <v>250</v>
      </c>
      <c r="G24" s="9" t="n">
        <f aca="false">E24*1.81818181818182</f>
        <v>2.27272727272727</v>
      </c>
      <c r="H24" s="9" t="n">
        <f aca="false">C24*G24</f>
        <v>454.545454545455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123.69316876853</v>
      </c>
      <c r="D25" s="7" t="s">
        <v>43</v>
      </c>
      <c r="E25" s="9" t="n">
        <v>1.5</v>
      </c>
      <c r="F25" s="9" t="n">
        <f aca="false">C25*E25</f>
        <v>185.539753152795</v>
      </c>
      <c r="G25" s="9" t="n">
        <f aca="false">E25*1.81818181818182</f>
        <v>2.72727272727273</v>
      </c>
      <c r="H25" s="9" t="n">
        <f aca="false">C25*G25</f>
        <v>337.345005732354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320</v>
      </c>
      <c r="D27" s="7" t="s">
        <v>43</v>
      </c>
      <c r="E27" s="9" t="n">
        <v>0.75</v>
      </c>
      <c r="F27" s="9" t="n">
        <f aca="false">C27*E27</f>
        <v>240</v>
      </c>
      <c r="G27" s="9" t="n">
        <f aca="false">E27*1.81818181818182</f>
        <v>1.36363636363636</v>
      </c>
      <c r="H27" s="9" t="n">
        <f aca="false">C27*G27</f>
        <v>436.363636363636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200</v>
      </c>
      <c r="D28" s="7" t="s">
        <v>43</v>
      </c>
      <c r="E28" s="9" t="n">
        <v>0.85</v>
      </c>
      <c r="F28" s="9" t="n">
        <f aca="false">C28*E28</f>
        <v>170</v>
      </c>
      <c r="G28" s="9" t="n">
        <f aca="false">E28*1.81818181818182</f>
        <v>1.54545454545455</v>
      </c>
      <c r="H28" s="9" t="n">
        <f aca="false">C28*G28</f>
        <v>309.090909090909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61.8465843842649</v>
      </c>
      <c r="D29" s="7" t="s">
        <v>43</v>
      </c>
      <c r="E29" s="9" t="n">
        <v>1</v>
      </c>
      <c r="F29" s="9" t="n">
        <f aca="false">C29*E29</f>
        <v>61.8465843842649</v>
      </c>
      <c r="G29" s="9" t="n">
        <f aca="false">E29*1.81818181818182</f>
        <v>1.81818181818182</v>
      </c>
      <c r="H29" s="9" t="n">
        <f aca="false">C29*G29</f>
        <v>112.448335244118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132</v>
      </c>
      <c r="D30" s="7" t="s">
        <v>40</v>
      </c>
      <c r="E30" s="9" t="n">
        <v>1.25</v>
      </c>
      <c r="F30" s="9" t="n">
        <f aca="false">C30*E30</f>
        <v>165</v>
      </c>
      <c r="G30" s="9" t="n">
        <f aca="false">E30*1.81818181818182</f>
        <v>2.27272727272727</v>
      </c>
      <c r="H30" s="9" t="n">
        <f aca="false">C30*G30</f>
        <v>300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88</v>
      </c>
      <c r="D31" s="7" t="s">
        <v>40</v>
      </c>
      <c r="E31" s="9" t="n">
        <v>0.85</v>
      </c>
      <c r="F31" s="9" t="n">
        <f aca="false">C31*E31</f>
        <v>74.8</v>
      </c>
      <c r="G31" s="9" t="n">
        <f aca="false">E31*1.81818181818182</f>
        <v>1.54545454545455</v>
      </c>
      <c r="H31" s="9" t="n">
        <f aca="false">C31*G31</f>
        <v>136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700</v>
      </c>
      <c r="D32" s="7" t="s">
        <v>40</v>
      </c>
      <c r="E32" s="9" t="n">
        <v>0.15</v>
      </c>
      <c r="F32" s="9" t="n">
        <f aca="false">C32*E32</f>
        <v>105</v>
      </c>
      <c r="G32" s="9" t="n">
        <f aca="false">E32*1.81818181818182</f>
        <v>0.272727272727273</v>
      </c>
      <c r="H32" s="9" t="n">
        <f aca="false">C32*G32</f>
        <v>190.909090909091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1152</v>
      </c>
      <c r="D33" s="7" t="s">
        <v>40</v>
      </c>
      <c r="E33" s="9" t="n">
        <v>0.15</v>
      </c>
      <c r="F33" s="9" t="n">
        <f aca="false">C33*E33</f>
        <v>172.8</v>
      </c>
      <c r="G33" s="9" t="n">
        <f aca="false">E33*1.81818181818182</f>
        <v>0.272727272727273</v>
      </c>
      <c r="H33" s="9" t="n">
        <f aca="false">C33*G33</f>
        <v>314.181818181818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20</v>
      </c>
      <c r="D34" s="7" t="s">
        <v>40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45</v>
      </c>
      <c r="D36" s="7" t="s">
        <v>76</v>
      </c>
      <c r="E36" s="9" t="n">
        <v>12</v>
      </c>
      <c r="F36" s="9" t="n">
        <f aca="false">C36*E36</f>
        <v>540</v>
      </c>
      <c r="G36" s="9" t="n">
        <f aca="false">E36*1.81818181818182</f>
        <v>21.8181818181818</v>
      </c>
      <c r="H36" s="9" t="n">
        <f aca="false">C36*G36</f>
        <v>981.818181818182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44341.1863375371</v>
      </c>
      <c r="H38" s="13" t="n">
        <f aca="false">SUM(H8:H37)</f>
        <v>80620.3387955219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90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92</v>
      </c>
      <c r="C8" s="8" t="n">
        <v>22</v>
      </c>
      <c r="D8" s="7" t="s">
        <v>40</v>
      </c>
      <c r="E8" s="9" t="n">
        <v>82</v>
      </c>
      <c r="F8" s="9" t="n">
        <f aca="false">C8*E8</f>
        <v>1804</v>
      </c>
      <c r="G8" s="9" t="n">
        <f aca="false">E8*1.81818181818182</f>
        <v>149.090909090909</v>
      </c>
      <c r="H8" s="9" t="n">
        <f aca="false">C8*G8</f>
        <v>3280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25</v>
      </c>
      <c r="D9" s="7" t="s">
        <v>40</v>
      </c>
      <c r="E9" s="9" t="n">
        <v>747.5</v>
      </c>
      <c r="F9" s="9" t="n">
        <f aca="false">C9*E9</f>
        <v>18687.5</v>
      </c>
      <c r="G9" s="9" t="n">
        <f aca="false">E9*1.81818181818182</f>
        <v>1359.09090909091</v>
      </c>
      <c r="H9" s="9" t="n">
        <f aca="false">C9*G9</f>
        <v>33977.2727272727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3.5</v>
      </c>
      <c r="F10" s="9" t="n">
        <f aca="false">C10*E10</f>
        <v>1120</v>
      </c>
      <c r="G10" s="9" t="n">
        <f aca="false">E10*1.81818181818182</f>
        <v>6.36363636363636</v>
      </c>
      <c r="H10" s="9" t="n">
        <f aca="false">C10*G10</f>
        <v>2036.36363636364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22</v>
      </c>
      <c r="D13" s="7" t="s">
        <v>40</v>
      </c>
      <c r="E13" s="9" t="n">
        <v>20</v>
      </c>
      <c r="F13" s="9" t="n">
        <f aca="false">C13*E13</f>
        <v>440</v>
      </c>
      <c r="G13" s="9" t="n">
        <f aca="false">E13*1.81818181818182</f>
        <v>36.3636363636364</v>
      </c>
      <c r="H13" s="9" t="n">
        <f aca="false">C13*G13</f>
        <v>800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1400</v>
      </c>
      <c r="D14" s="7" t="s">
        <v>43</v>
      </c>
      <c r="E14" s="9" t="n">
        <v>4.5</v>
      </c>
      <c r="F14" s="9" t="n">
        <f aca="false">C14*E14</f>
        <v>6300</v>
      </c>
      <c r="G14" s="9" t="n">
        <f aca="false">E14*1.81818181818182</f>
        <v>8.18181818181818</v>
      </c>
      <c r="H14" s="9" t="n">
        <f aca="false">C14*G14</f>
        <v>11454.5454545455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1280</v>
      </c>
      <c r="D15" s="7" t="s">
        <v>43</v>
      </c>
      <c r="E15" s="9" t="n">
        <v>4</v>
      </c>
      <c r="F15" s="9" t="n">
        <f aca="false">C15*E15</f>
        <v>5120</v>
      </c>
      <c r="G15" s="9" t="n">
        <f aca="false">E15*1.81818181818182</f>
        <v>7.27272727272727</v>
      </c>
      <c r="H15" s="9" t="n">
        <f aca="false">C15*G15</f>
        <v>9309.09090909091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20</v>
      </c>
      <c r="D16" s="7" t="s">
        <v>45</v>
      </c>
      <c r="E16" s="9" t="n">
        <v>8.5</v>
      </c>
      <c r="F16" s="9" t="n">
        <f aca="false">C16*E16</f>
        <v>170</v>
      </c>
      <c r="G16" s="9" t="n">
        <f aca="false">E16*1.81818181818182</f>
        <v>15.4545454545455</v>
      </c>
      <c r="H16" s="9" t="n">
        <f aca="false">C16*G16</f>
        <v>309.090909090909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68</v>
      </c>
      <c r="D17" s="7" t="s">
        <v>52</v>
      </c>
      <c r="E17" s="9" t="n">
        <v>86</v>
      </c>
      <c r="F17" s="9" t="n">
        <f aca="false">C17*E17</f>
        <v>5848</v>
      </c>
      <c r="G17" s="9" t="n">
        <f aca="false">E17*1.81818181818182</f>
        <v>156.363636363636</v>
      </c>
      <c r="H17" s="9" t="n">
        <f aca="false">C17*G17</f>
        <v>10632.7272727273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100</v>
      </c>
      <c r="D18" s="7" t="s">
        <v>43</v>
      </c>
      <c r="E18" s="9" t="n">
        <v>1.5</v>
      </c>
      <c r="F18" s="9" t="n">
        <f aca="false">C18*E18</f>
        <v>150</v>
      </c>
      <c r="G18" s="9" t="n">
        <f aca="false">E18*1.81818181818182</f>
        <v>2.72727272727273</v>
      </c>
      <c r="H18" s="9" t="n">
        <f aca="false">C18*G18</f>
        <v>272.727272727273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68</v>
      </c>
      <c r="D19" s="7" t="s">
        <v>40</v>
      </c>
      <c r="E19" s="9" t="n">
        <v>2</v>
      </c>
      <c r="F19" s="9" t="n">
        <f aca="false">C19*E19</f>
        <v>136</v>
      </c>
      <c r="G19" s="9" t="n">
        <f aca="false">E19*1.81818181818182</f>
        <v>3.63636363636364</v>
      </c>
      <c r="H19" s="9" t="n">
        <f aca="false">C19*G19</f>
        <v>247.272727272727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1360</v>
      </c>
      <c r="D20" s="7" t="s">
        <v>40</v>
      </c>
      <c r="E20" s="9" t="n">
        <v>0.18</v>
      </c>
      <c r="F20" s="9" t="n">
        <f aca="false">C20*E20</f>
        <v>244.8</v>
      </c>
      <c r="G20" s="9" t="n">
        <f aca="false">E20*1.81818181818182</f>
        <v>0.327272727272727</v>
      </c>
      <c r="H20" s="9" t="n">
        <f aca="false">C20*G20</f>
        <v>445.090909090909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107</v>
      </c>
      <c r="D21" s="7" t="s">
        <v>52</v>
      </c>
      <c r="E21" s="9" t="n">
        <v>56</v>
      </c>
      <c r="F21" s="9" t="n">
        <f aca="false">C21*E21</f>
        <v>5992</v>
      </c>
      <c r="G21" s="9" t="n">
        <f aca="false">E21*1.81818181818182</f>
        <v>101.818181818182</v>
      </c>
      <c r="H21" s="9" t="n">
        <f aca="false">C21*G21</f>
        <v>10894.5454545455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2560</v>
      </c>
      <c r="D23" s="7" t="s">
        <v>40</v>
      </c>
      <c r="E23" s="9" t="n">
        <v>0.16</v>
      </c>
      <c r="F23" s="9" t="n">
        <f aca="false">C23*E23</f>
        <v>409.6</v>
      </c>
      <c r="G23" s="9" t="n">
        <f aca="false">E23*1.81818181818182</f>
        <v>0.290909090909091</v>
      </c>
      <c r="H23" s="9" t="n">
        <f aca="false">C23*G23</f>
        <v>744.727272727273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200</v>
      </c>
      <c r="D25" s="7" t="s">
        <v>43</v>
      </c>
      <c r="E25" s="9" t="n">
        <v>1.25</v>
      </c>
      <c r="F25" s="9" t="n">
        <f aca="false">C25*E25</f>
        <v>250</v>
      </c>
      <c r="G25" s="9" t="n">
        <f aca="false">E25*1.81818181818182</f>
        <v>2.27272727272727</v>
      </c>
      <c r="H25" s="9" t="n">
        <f aca="false">C25*G25</f>
        <v>454.545454545455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320</v>
      </c>
      <c r="D28" s="7" t="s">
        <v>43</v>
      </c>
      <c r="E28" s="9" t="n">
        <v>0.75</v>
      </c>
      <c r="F28" s="9" t="n">
        <f aca="false">C28*E28</f>
        <v>240</v>
      </c>
      <c r="G28" s="9" t="n">
        <f aca="false">E28*1.81818181818182</f>
        <v>1.36363636363636</v>
      </c>
      <c r="H28" s="9" t="n">
        <f aca="false">C28*G28</f>
        <v>436.363636363636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200</v>
      </c>
      <c r="D29" s="7" t="s">
        <v>43</v>
      </c>
      <c r="E29" s="9" t="n">
        <v>0.85</v>
      </c>
      <c r="F29" s="9" t="n">
        <f aca="false">C29*E29</f>
        <v>170</v>
      </c>
      <c r="G29" s="9" t="n">
        <f aca="false">E29*1.81818181818182</f>
        <v>1.54545454545455</v>
      </c>
      <c r="H29" s="9" t="n">
        <f aca="false">C29*G29</f>
        <v>309.090909090909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176</v>
      </c>
      <c r="D31" s="7" t="s">
        <v>40</v>
      </c>
      <c r="E31" s="9" t="n">
        <v>1.25</v>
      </c>
      <c r="F31" s="9" t="n">
        <f aca="false">C31*E31</f>
        <v>220</v>
      </c>
      <c r="G31" s="9" t="n">
        <f aca="false">E31*1.81818181818182</f>
        <v>2.27272727272727</v>
      </c>
      <c r="H31" s="9" t="n">
        <f aca="false">C31*G31</f>
        <v>400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132</v>
      </c>
      <c r="D32" s="7" t="s">
        <v>40</v>
      </c>
      <c r="E32" s="9" t="n">
        <v>0.85</v>
      </c>
      <c r="F32" s="9" t="n">
        <f aca="false">C32*E32</f>
        <v>112.2</v>
      </c>
      <c r="G32" s="9" t="n">
        <f aca="false">E32*1.81818181818182</f>
        <v>1.54545454545455</v>
      </c>
      <c r="H32" s="9" t="n">
        <f aca="false">C32*G32</f>
        <v>204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700</v>
      </c>
      <c r="D33" s="7" t="s">
        <v>40</v>
      </c>
      <c r="E33" s="9" t="n">
        <v>0.15</v>
      </c>
      <c r="F33" s="9" t="n">
        <f aca="false">C33*E33</f>
        <v>105</v>
      </c>
      <c r="G33" s="9" t="n">
        <f aca="false">E33*1.81818181818182</f>
        <v>0.272727272727273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1536</v>
      </c>
      <c r="D34" s="7" t="s">
        <v>40</v>
      </c>
      <c r="E34" s="9" t="n">
        <v>0.15</v>
      </c>
      <c r="F34" s="9" t="n">
        <f aca="false">C34*E34</f>
        <v>230.4</v>
      </c>
      <c r="G34" s="9" t="n">
        <f aca="false">E34*1.81818181818182</f>
        <v>0.272727272727273</v>
      </c>
      <c r="H34" s="9" t="n">
        <f aca="false">C34*G34</f>
        <v>418.909090909091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14</v>
      </c>
      <c r="F35" s="9" t="n">
        <f aca="false">C35*E35</f>
        <v>280</v>
      </c>
      <c r="G35" s="9" t="n">
        <f aca="false">E35*1.81818181818182</f>
        <v>25.4545454545455</v>
      </c>
      <c r="H35" s="9" t="n">
        <f aca="false">C35*G35</f>
        <v>509.090909090909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44</v>
      </c>
      <c r="D36" s="7" t="s">
        <v>40</v>
      </c>
      <c r="E36" s="9" t="n">
        <v>1.5</v>
      </c>
      <c r="F36" s="9" t="n">
        <f aca="false">C36*E36</f>
        <v>66</v>
      </c>
      <c r="G36" s="9" t="n">
        <f aca="false">E36*1.81818181818182</f>
        <v>2.72727272727273</v>
      </c>
      <c r="H36" s="9" t="n">
        <f aca="false">C36*G36</f>
        <v>120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52</v>
      </c>
      <c r="D38" s="7" t="s">
        <v>76</v>
      </c>
      <c r="E38" s="9" t="n">
        <v>12</v>
      </c>
      <c r="F38" s="9" t="n">
        <f aca="false">C38*E38</f>
        <v>624</v>
      </c>
      <c r="G38" s="9" t="n">
        <f aca="false">E38*1.81818181818182</f>
        <v>21.8181818181818</v>
      </c>
      <c r="H38" s="9" t="n">
        <f aca="false">C38*G38</f>
        <v>1134.54545454545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50783.8863375371</v>
      </c>
      <c r="H40" s="13" t="n">
        <f aca="false">SUM(H8:H39)</f>
        <v>92334.3387955219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97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27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99</v>
      </c>
      <c r="C8" s="8" t="n">
        <v>22</v>
      </c>
      <c r="D8" s="7" t="s">
        <v>40</v>
      </c>
      <c r="E8" s="9" t="n">
        <v>110</v>
      </c>
      <c r="F8" s="9" t="n">
        <f aca="false">C8*E8</f>
        <v>2420</v>
      </c>
      <c r="G8" s="9" t="n">
        <f aca="false">E8*1.81818181818182</f>
        <v>200</v>
      </c>
      <c r="H8" s="9" t="n">
        <f aca="false">C8*G8</f>
        <v>4400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41</v>
      </c>
      <c r="C9" s="8" t="n">
        <v>25</v>
      </c>
      <c r="D9" s="7" t="s">
        <v>40</v>
      </c>
      <c r="E9" s="9" t="n">
        <v>845</v>
      </c>
      <c r="F9" s="9" t="n">
        <f aca="false">C9*E9</f>
        <v>21125</v>
      </c>
      <c r="G9" s="9" t="n">
        <f aca="false">E9*1.81818181818182</f>
        <v>1536.36363636364</v>
      </c>
      <c r="H9" s="9" t="n">
        <f aca="false">C9*G9</f>
        <v>38409.0909090909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4.25</v>
      </c>
      <c r="F10" s="9" t="n">
        <f aca="false">C10*E10</f>
        <v>1360</v>
      </c>
      <c r="G10" s="9" t="n">
        <f aca="false">E10*1.81818181818182</f>
        <v>7.72727272727273</v>
      </c>
      <c r="H10" s="9" t="n">
        <f aca="false">C10*G10</f>
        <v>2472.72727272727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22</v>
      </c>
      <c r="D13" s="7" t="s">
        <v>40</v>
      </c>
      <c r="E13" s="9" t="n">
        <v>28</v>
      </c>
      <c r="F13" s="9" t="n">
        <f aca="false">C13*E13</f>
        <v>616</v>
      </c>
      <c r="G13" s="9" t="n">
        <f aca="false">E13*1.81818181818182</f>
        <v>50.9090909090909</v>
      </c>
      <c r="H13" s="9" t="n">
        <f aca="false">C13*G13</f>
        <v>1120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1400</v>
      </c>
      <c r="D14" s="7" t="s">
        <v>43</v>
      </c>
      <c r="E14" s="9" t="n">
        <v>4.5</v>
      </c>
      <c r="F14" s="9" t="n">
        <f aca="false">C14*E14</f>
        <v>6300</v>
      </c>
      <c r="G14" s="9" t="n">
        <f aca="false">E14*1.81818181818182</f>
        <v>8.18181818181818</v>
      </c>
      <c r="H14" s="9" t="n">
        <f aca="false">C14*G14</f>
        <v>11454.5454545455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1280</v>
      </c>
      <c r="D15" s="7" t="s">
        <v>43</v>
      </c>
      <c r="E15" s="9" t="n">
        <v>4.25</v>
      </c>
      <c r="F15" s="9" t="n">
        <f aca="false">C15*E15</f>
        <v>5440</v>
      </c>
      <c r="G15" s="9" t="n">
        <f aca="false">E15*1.81818181818182</f>
        <v>7.72727272727273</v>
      </c>
      <c r="H15" s="9" t="n">
        <f aca="false">C15*G15</f>
        <v>9890.90909090909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30</v>
      </c>
      <c r="D16" s="7" t="s">
        <v>45</v>
      </c>
      <c r="E16" s="9" t="n">
        <v>8.5</v>
      </c>
      <c r="F16" s="9" t="n">
        <f aca="false">C16*E16</f>
        <v>255</v>
      </c>
      <c r="G16" s="9" t="n">
        <f aca="false">E16*1.81818181818182</f>
        <v>15.4545454545455</v>
      </c>
      <c r="H16" s="9" t="n">
        <f aca="false">C16*G16</f>
        <v>463.636363636364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68</v>
      </c>
      <c r="D17" s="7" t="s">
        <v>52</v>
      </c>
      <c r="E17" s="9" t="n">
        <v>86</v>
      </c>
      <c r="F17" s="9" t="n">
        <f aca="false">C17*E17</f>
        <v>5848</v>
      </c>
      <c r="G17" s="9" t="n">
        <f aca="false">E17*1.81818181818182</f>
        <v>156.363636363636</v>
      </c>
      <c r="H17" s="9" t="n">
        <f aca="false">C17*G17</f>
        <v>10632.7272727273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100</v>
      </c>
      <c r="D18" s="7" t="s">
        <v>43</v>
      </c>
      <c r="E18" s="9" t="n">
        <v>1.5</v>
      </c>
      <c r="F18" s="9" t="n">
        <f aca="false">C18*E18</f>
        <v>150</v>
      </c>
      <c r="G18" s="9" t="n">
        <f aca="false">E18*1.81818181818182</f>
        <v>2.72727272727273</v>
      </c>
      <c r="H18" s="9" t="n">
        <f aca="false">C18*G18</f>
        <v>272.727272727273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68</v>
      </c>
      <c r="D19" s="7" t="s">
        <v>40</v>
      </c>
      <c r="E19" s="9" t="n">
        <v>2</v>
      </c>
      <c r="F19" s="9" t="n">
        <f aca="false">C19*E19</f>
        <v>136</v>
      </c>
      <c r="G19" s="9" t="n">
        <f aca="false">E19*1.81818181818182</f>
        <v>3.63636363636364</v>
      </c>
      <c r="H19" s="9" t="n">
        <f aca="false">C19*G19</f>
        <v>247.272727272727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1360</v>
      </c>
      <c r="D20" s="7" t="s">
        <v>40</v>
      </c>
      <c r="E20" s="9" t="n">
        <v>0.18</v>
      </c>
      <c r="F20" s="9" t="n">
        <f aca="false">C20*E20</f>
        <v>244.8</v>
      </c>
      <c r="G20" s="9" t="n">
        <f aca="false">E20*1.81818181818182</f>
        <v>0.327272727272727</v>
      </c>
      <c r="H20" s="9" t="n">
        <f aca="false">C20*G20</f>
        <v>445.090909090909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107</v>
      </c>
      <c r="D21" s="7" t="s">
        <v>52</v>
      </c>
      <c r="E21" s="9" t="n">
        <v>70</v>
      </c>
      <c r="F21" s="9" t="n">
        <f aca="false">C21*E21</f>
        <v>7490</v>
      </c>
      <c r="G21" s="9" t="n">
        <f aca="false">E21*1.81818181818182</f>
        <v>127.272727272727</v>
      </c>
      <c r="H21" s="9" t="n">
        <f aca="false">C21*G21</f>
        <v>13618.1818181818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3200</v>
      </c>
      <c r="D23" s="7" t="s">
        <v>40</v>
      </c>
      <c r="E23" s="9" t="n">
        <v>0.16</v>
      </c>
      <c r="F23" s="9" t="n">
        <f aca="false">C23*E23</f>
        <v>512</v>
      </c>
      <c r="G23" s="9" t="n">
        <f aca="false">E23*1.81818181818182</f>
        <v>0.290909090909091</v>
      </c>
      <c r="H23" s="9" t="n">
        <f aca="false">C23*G23</f>
        <v>930.909090909091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200</v>
      </c>
      <c r="D25" s="7" t="s">
        <v>43</v>
      </c>
      <c r="E25" s="9" t="n">
        <v>1.25</v>
      </c>
      <c r="F25" s="9" t="n">
        <f aca="false">C25*E25</f>
        <v>250</v>
      </c>
      <c r="G25" s="9" t="n">
        <f aca="false">E25*1.81818181818182</f>
        <v>2.27272727272727</v>
      </c>
      <c r="H25" s="9" t="n">
        <f aca="false">C25*G25</f>
        <v>454.545454545455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320</v>
      </c>
      <c r="D28" s="7" t="s">
        <v>43</v>
      </c>
      <c r="E28" s="9" t="n">
        <v>0.75</v>
      </c>
      <c r="F28" s="9" t="n">
        <f aca="false">C28*E28</f>
        <v>240</v>
      </c>
      <c r="G28" s="9" t="n">
        <f aca="false">E28*1.81818181818182</f>
        <v>1.36363636363636</v>
      </c>
      <c r="H28" s="9" t="n">
        <f aca="false">C28*G28</f>
        <v>436.363636363636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200</v>
      </c>
      <c r="D29" s="7" t="s">
        <v>43</v>
      </c>
      <c r="E29" s="9" t="n">
        <v>0.85</v>
      </c>
      <c r="F29" s="9" t="n">
        <f aca="false">C29*E29</f>
        <v>170</v>
      </c>
      <c r="G29" s="9" t="n">
        <f aca="false">E29*1.81818181818182</f>
        <v>1.54545454545455</v>
      </c>
      <c r="H29" s="9" t="n">
        <f aca="false">C29*G29</f>
        <v>309.090909090909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220</v>
      </c>
      <c r="D31" s="7" t="s">
        <v>40</v>
      </c>
      <c r="E31" s="9" t="n">
        <v>1.25</v>
      </c>
      <c r="F31" s="9" t="n">
        <f aca="false">C31*E31</f>
        <v>275</v>
      </c>
      <c r="G31" s="9" t="n">
        <f aca="false">E31*1.81818181818182</f>
        <v>2.27272727272727</v>
      </c>
      <c r="H31" s="9" t="n">
        <f aca="false">C31*G31</f>
        <v>500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132</v>
      </c>
      <c r="D32" s="7" t="s">
        <v>40</v>
      </c>
      <c r="E32" s="9" t="n">
        <v>0.85</v>
      </c>
      <c r="F32" s="9" t="n">
        <f aca="false">C32*E32</f>
        <v>112.2</v>
      </c>
      <c r="G32" s="9" t="n">
        <f aca="false">E32*1.81818181818182</f>
        <v>1.54545454545455</v>
      </c>
      <c r="H32" s="9" t="n">
        <f aca="false">C32*G32</f>
        <v>204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700</v>
      </c>
      <c r="D33" s="7" t="s">
        <v>40</v>
      </c>
      <c r="E33" s="9" t="n">
        <v>0.15</v>
      </c>
      <c r="F33" s="9" t="n">
        <f aca="false">C33*E33</f>
        <v>105</v>
      </c>
      <c r="G33" s="9" t="n">
        <f aca="false">E33*1.81818181818182</f>
        <v>0.272727272727273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1536</v>
      </c>
      <c r="D34" s="7" t="s">
        <v>40</v>
      </c>
      <c r="E34" s="9" t="n">
        <v>0.15</v>
      </c>
      <c r="F34" s="9" t="n">
        <f aca="false">C34*E34</f>
        <v>230.4</v>
      </c>
      <c r="G34" s="9" t="n">
        <f aca="false">E34*1.81818181818182</f>
        <v>0.272727272727273</v>
      </c>
      <c r="H34" s="9" t="n">
        <f aca="false">C34*G34</f>
        <v>418.909090909091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40</v>
      </c>
      <c r="D35" s="7" t="s">
        <v>40</v>
      </c>
      <c r="E35" s="9" t="n">
        <v>16</v>
      </c>
      <c r="F35" s="9" t="n">
        <f aca="false">C35*E35</f>
        <v>640</v>
      </c>
      <c r="G35" s="9" t="n">
        <f aca="false">E35*1.81818181818182</f>
        <v>29.0909090909091</v>
      </c>
      <c r="H35" s="9" t="n">
        <f aca="false">C35*G35</f>
        <v>1163.63636363636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88</v>
      </c>
      <c r="D36" s="7" t="s">
        <v>40</v>
      </c>
      <c r="E36" s="9" t="n">
        <v>1.5</v>
      </c>
      <c r="F36" s="9" t="n">
        <f aca="false">C36*E36</f>
        <v>132</v>
      </c>
      <c r="G36" s="9" t="n">
        <f aca="false">E36*1.81818181818182</f>
        <v>2.72727272727273</v>
      </c>
      <c r="H36" s="9" t="n">
        <f aca="false">C36*G36</f>
        <v>240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64</v>
      </c>
      <c r="D38" s="7" t="s">
        <v>76</v>
      </c>
      <c r="E38" s="9" t="n">
        <v>12</v>
      </c>
      <c r="F38" s="9" t="n">
        <f aca="false">C38*E38</f>
        <v>768</v>
      </c>
      <c r="G38" s="9" t="n">
        <f aca="false">E38*1.81818181818182</f>
        <v>21.8181818181818</v>
      </c>
      <c r="H38" s="9" t="n">
        <f aca="false">C38*G38</f>
        <v>1396.36363636364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57486.7863375371</v>
      </c>
      <c r="H40" s="13" t="n">
        <f aca="false">SUM(H8:H39)</f>
        <v>104521.429704613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26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103</v>
      </c>
      <c r="C8" s="8" t="n">
        <v>22</v>
      </c>
      <c r="D8" s="7" t="s">
        <v>40</v>
      </c>
      <c r="E8" s="9" t="n">
        <v>125</v>
      </c>
      <c r="F8" s="9" t="n">
        <f aca="false">C8*E8</f>
        <v>2750</v>
      </c>
      <c r="G8" s="9" t="n">
        <f aca="false">E8*1.81818181818182</f>
        <v>227.272727272727</v>
      </c>
      <c r="H8" s="9" t="n">
        <f aca="false">C8*G8</f>
        <v>5000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25</v>
      </c>
      <c r="D9" s="7" t="s">
        <v>40</v>
      </c>
      <c r="E9" s="9" t="n">
        <v>350</v>
      </c>
      <c r="F9" s="9" t="n">
        <f aca="false">C9*E9</f>
        <v>8750</v>
      </c>
      <c r="G9" s="9" t="n">
        <f aca="false">E9*1.81818181818182</f>
        <v>636.363636363636</v>
      </c>
      <c r="H9" s="9" t="n">
        <f aca="false">C9*G9</f>
        <v>15909.0909090909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2.5</v>
      </c>
      <c r="F10" s="9" t="n">
        <f aca="false">C10*E10</f>
        <v>800</v>
      </c>
      <c r="G10" s="9" t="n">
        <f aca="false">E10*1.81818181818182</f>
        <v>4.54545454545455</v>
      </c>
      <c r="H10" s="9" t="n">
        <f aca="false">C10*G10</f>
        <v>1454.54545454545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4</v>
      </c>
      <c r="D11" s="7" t="s">
        <v>45</v>
      </c>
      <c r="E11" s="9" t="n">
        <v>45</v>
      </c>
      <c r="F11" s="9" t="n">
        <f aca="false">C11*E11</f>
        <v>180</v>
      </c>
      <c r="G11" s="9" t="n">
        <f aca="false">E11*1.81818181818182</f>
        <v>81.8181818181818</v>
      </c>
      <c r="H11" s="9" t="n">
        <f aca="false">C11*G11</f>
        <v>327.272727272727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22</v>
      </c>
      <c r="D12" s="7" t="s">
        <v>40</v>
      </c>
      <c r="E12" s="9" t="n">
        <v>18</v>
      </c>
      <c r="F12" s="9" t="n">
        <f aca="false">C12*E12</f>
        <v>396</v>
      </c>
      <c r="G12" s="9" t="n">
        <f aca="false">E12*1.81818181818182</f>
        <v>32.7272727272727</v>
      </c>
      <c r="H12" s="9" t="n">
        <f aca="false">C12*G12</f>
        <v>720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1400</v>
      </c>
      <c r="D13" s="7" t="s">
        <v>43</v>
      </c>
      <c r="E13" s="9" t="n">
        <v>4.5</v>
      </c>
      <c r="F13" s="9" t="n">
        <f aca="false">C13*E13</f>
        <v>6300</v>
      </c>
      <c r="G13" s="9" t="n">
        <f aca="false">E13*1.81818181818182</f>
        <v>8.18181818181818</v>
      </c>
      <c r="H13" s="9" t="n">
        <f aca="false">C13*G13</f>
        <v>11454.5454545455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640</v>
      </c>
      <c r="D14" s="7" t="s">
        <v>43</v>
      </c>
      <c r="E14" s="9" t="n">
        <v>3.5</v>
      </c>
      <c r="F14" s="9" t="n">
        <f aca="false">C14*E14</f>
        <v>2240</v>
      </c>
      <c r="G14" s="9" t="n">
        <f aca="false">E14*1.81818181818182</f>
        <v>6.36363636363636</v>
      </c>
      <c r="H14" s="9" t="n">
        <f aca="false">C14*G14</f>
        <v>4072.72727272727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68</v>
      </c>
      <c r="D15" s="7" t="s">
        <v>52</v>
      </c>
      <c r="E15" s="9" t="n">
        <v>86</v>
      </c>
      <c r="F15" s="9" t="n">
        <f aca="false">C15*E15</f>
        <v>5848</v>
      </c>
      <c r="G15" s="9" t="n">
        <f aca="false">E15*1.81818181818182</f>
        <v>156.363636363636</v>
      </c>
      <c r="H15" s="9" t="n">
        <f aca="false">C15*G15</f>
        <v>10632.7272727273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100</v>
      </c>
      <c r="D16" s="7" t="s">
        <v>43</v>
      </c>
      <c r="E16" s="9" t="n">
        <v>1.5</v>
      </c>
      <c r="F16" s="9" t="n">
        <f aca="false">C16*E16</f>
        <v>150</v>
      </c>
      <c r="G16" s="9" t="n">
        <f aca="false">E16*1.81818181818182</f>
        <v>2.72727272727273</v>
      </c>
      <c r="H16" s="9" t="n">
        <f aca="false">C16*G16</f>
        <v>272.727272727273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68</v>
      </c>
      <c r="D17" s="7" t="s">
        <v>40</v>
      </c>
      <c r="E17" s="9" t="n">
        <v>2</v>
      </c>
      <c r="F17" s="9" t="n">
        <f aca="false">C17*E17</f>
        <v>136</v>
      </c>
      <c r="G17" s="9" t="n">
        <f aca="false">E17*1.81818181818182</f>
        <v>3.63636363636364</v>
      </c>
      <c r="H17" s="9" t="n">
        <f aca="false">C17*G17</f>
        <v>247.272727272727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1360</v>
      </c>
      <c r="D18" s="7" t="s">
        <v>40</v>
      </c>
      <c r="E18" s="9" t="n">
        <v>0.18</v>
      </c>
      <c r="F18" s="9" t="n">
        <f aca="false">C18*E18</f>
        <v>244.8</v>
      </c>
      <c r="G18" s="9" t="n">
        <f aca="false">E18*1.81818181818182</f>
        <v>0.327272727272727</v>
      </c>
      <c r="H18" s="9" t="n">
        <f aca="false">C18*G18</f>
        <v>445.090909090909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57</v>
      </c>
      <c r="C19" s="8" t="n">
        <v>107</v>
      </c>
      <c r="D19" s="7" t="s">
        <v>52</v>
      </c>
      <c r="E19" s="9" t="n">
        <v>35</v>
      </c>
      <c r="F19" s="9" t="n">
        <f aca="false">C19*E19</f>
        <v>3745</v>
      </c>
      <c r="G19" s="9" t="n">
        <f aca="false">E19*1.81818181818182</f>
        <v>63.6363636363636</v>
      </c>
      <c r="H19" s="9" t="n">
        <f aca="false">C19*G19</f>
        <v>6809.09090909091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1600</v>
      </c>
      <c r="D21" s="7" t="s">
        <v>40</v>
      </c>
      <c r="E21" s="9" t="n">
        <v>0.16</v>
      </c>
      <c r="F21" s="9" t="n">
        <f aca="false">C21*E21</f>
        <v>256</v>
      </c>
      <c r="G21" s="9" t="n">
        <f aca="false">E21*1.81818181818182</f>
        <v>0.290909090909091</v>
      </c>
      <c r="H21" s="9" t="n">
        <f aca="false">C21*G21</f>
        <v>465.454545454545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200</v>
      </c>
      <c r="D23" s="7" t="s">
        <v>43</v>
      </c>
      <c r="E23" s="9" t="n">
        <v>1.25</v>
      </c>
      <c r="F23" s="9" t="n">
        <f aca="false">C23*E23</f>
        <v>250</v>
      </c>
      <c r="G23" s="9" t="n">
        <f aca="false">E23*1.81818181818182</f>
        <v>2.27272727272727</v>
      </c>
      <c r="H23" s="9" t="n">
        <f aca="false">C23*G23</f>
        <v>454.545454545455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40</v>
      </c>
      <c r="D25" s="7" t="s">
        <v>43</v>
      </c>
      <c r="E25" s="9" t="n">
        <v>1.75</v>
      </c>
      <c r="F25" s="9" t="n">
        <f aca="false">C25*E25</f>
        <v>70</v>
      </c>
      <c r="G25" s="9" t="n">
        <f aca="false">E25*1.81818181818182</f>
        <v>3.18181818181818</v>
      </c>
      <c r="H25" s="9" t="n">
        <f aca="false">C25*G25</f>
        <v>127.272727272727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320</v>
      </c>
      <c r="D26" s="7" t="s">
        <v>43</v>
      </c>
      <c r="E26" s="9" t="n">
        <v>0.75</v>
      </c>
      <c r="F26" s="9" t="n">
        <f aca="false">C26*E26</f>
        <v>240</v>
      </c>
      <c r="G26" s="9" t="n">
        <f aca="false">E26*1.81818181818182</f>
        <v>1.36363636363636</v>
      </c>
      <c r="H26" s="9" t="n">
        <f aca="false">C26*G26</f>
        <v>436.363636363636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200</v>
      </c>
      <c r="D27" s="7" t="s">
        <v>43</v>
      </c>
      <c r="E27" s="9" t="n">
        <v>0.85</v>
      </c>
      <c r="F27" s="9" t="n">
        <f aca="false">C27*E27</f>
        <v>170</v>
      </c>
      <c r="G27" s="9" t="n">
        <f aca="false">E27*1.81818181818182</f>
        <v>1.54545454545455</v>
      </c>
      <c r="H27" s="9" t="n">
        <f aca="false">C27*G27</f>
        <v>309.090909090909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88</v>
      </c>
      <c r="D29" s="7" t="s">
        <v>40</v>
      </c>
      <c r="E29" s="9" t="n">
        <v>1.25</v>
      </c>
      <c r="F29" s="9" t="n">
        <f aca="false">C29*E29</f>
        <v>110</v>
      </c>
      <c r="G29" s="9" t="n">
        <f aca="false">E29*1.81818181818182</f>
        <v>2.27272727272727</v>
      </c>
      <c r="H29" s="9" t="n">
        <f aca="false">C29*G29</f>
        <v>200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88</v>
      </c>
      <c r="D30" s="7" t="s">
        <v>40</v>
      </c>
      <c r="E30" s="9" t="n">
        <v>0.85</v>
      </c>
      <c r="F30" s="9" t="n">
        <f aca="false">C30*E30</f>
        <v>74.8</v>
      </c>
      <c r="G30" s="9" t="n">
        <f aca="false">E30*1.81818181818182</f>
        <v>1.54545454545455</v>
      </c>
      <c r="H30" s="9" t="n">
        <f aca="false">C30*G30</f>
        <v>136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700</v>
      </c>
      <c r="D31" s="7" t="s">
        <v>40</v>
      </c>
      <c r="E31" s="9" t="n">
        <v>0.15</v>
      </c>
      <c r="F31" s="9" t="n">
        <f aca="false">C31*E31</f>
        <v>105</v>
      </c>
      <c r="G31" s="9" t="n">
        <f aca="false">E31*1.81818181818182</f>
        <v>0.272727272727273</v>
      </c>
      <c r="H31" s="9" t="n">
        <f aca="false">C31*G31</f>
        <v>190.909090909091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768</v>
      </c>
      <c r="D32" s="7" t="s">
        <v>40</v>
      </c>
      <c r="E32" s="9" t="n">
        <v>0.15</v>
      </c>
      <c r="F32" s="9" t="n">
        <f aca="false">C32*E32</f>
        <v>115.2</v>
      </c>
      <c r="G32" s="9" t="n">
        <f aca="false">E32*1.81818181818182</f>
        <v>0.272727272727273</v>
      </c>
      <c r="H32" s="9" t="n">
        <f aca="false">C32*G32</f>
        <v>209.454545454545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2</v>
      </c>
      <c r="D33" s="7" t="s">
        <v>74</v>
      </c>
      <c r="E33" s="9" t="n">
        <v>35</v>
      </c>
      <c r="F33" s="9" t="n">
        <f aca="false">C33*E33</f>
        <v>70</v>
      </c>
      <c r="G33" s="9" t="n">
        <f aca="false">E33*1.81818181818182</f>
        <v>63.6363636363636</v>
      </c>
      <c r="H33" s="9" t="n">
        <f aca="false">C33*G33</f>
        <v>127.272727272727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32</v>
      </c>
      <c r="D34" s="7" t="s">
        <v>76</v>
      </c>
      <c r="E34" s="9" t="n">
        <v>12</v>
      </c>
      <c r="F34" s="9" t="n">
        <f aca="false">C34*E34</f>
        <v>384</v>
      </c>
      <c r="G34" s="9" t="n">
        <f aca="false">E34*1.81818181818182</f>
        <v>21.8181818181818</v>
      </c>
      <c r="H34" s="9" t="n">
        <f aca="false">C34*G34</f>
        <v>698.181818181818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34512.1863375371</v>
      </c>
      <c r="H36" s="13" t="n">
        <f aca="false">SUM(H8:H35)</f>
        <v>62749.4297046128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105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106</v>
      </c>
      <c r="C8" s="8" t="n">
        <v>22</v>
      </c>
      <c r="D8" s="7" t="s">
        <v>40</v>
      </c>
      <c r="E8" s="9" t="n">
        <v>150</v>
      </c>
      <c r="F8" s="9" t="n">
        <f aca="false">C8*E8</f>
        <v>3300</v>
      </c>
      <c r="G8" s="9" t="n">
        <f aca="false">E8*1.81818181818182</f>
        <v>272.727272727273</v>
      </c>
      <c r="H8" s="9" t="n">
        <f aca="false">C8*G8</f>
        <v>6000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25</v>
      </c>
      <c r="D9" s="7" t="s">
        <v>40</v>
      </c>
      <c r="E9" s="9" t="n">
        <v>350</v>
      </c>
      <c r="F9" s="9" t="n">
        <f aca="false">C9*E9</f>
        <v>8750</v>
      </c>
      <c r="G9" s="9" t="n">
        <f aca="false">E9*1.81818181818182</f>
        <v>636.363636363636</v>
      </c>
      <c r="H9" s="9" t="n">
        <f aca="false">C9*G9</f>
        <v>15909.0909090909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2.75</v>
      </c>
      <c r="F10" s="9" t="n">
        <f aca="false">C10*E10</f>
        <v>880</v>
      </c>
      <c r="G10" s="9" t="n">
        <f aca="false">E10*1.81818181818182</f>
        <v>5</v>
      </c>
      <c r="H10" s="9" t="n">
        <f aca="false">C10*G10</f>
        <v>1600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5</v>
      </c>
      <c r="D11" s="7" t="s">
        <v>45</v>
      </c>
      <c r="E11" s="9" t="n">
        <v>45</v>
      </c>
      <c r="F11" s="9" t="n">
        <f aca="false">C11*E11</f>
        <v>225</v>
      </c>
      <c r="G11" s="9" t="n">
        <f aca="false">E11*1.81818181818182</f>
        <v>81.8181818181818</v>
      </c>
      <c r="H11" s="9" t="n">
        <f aca="false">C11*G11</f>
        <v>409.090909090909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22</v>
      </c>
      <c r="D12" s="7" t="s">
        <v>40</v>
      </c>
      <c r="E12" s="9" t="n">
        <v>22</v>
      </c>
      <c r="F12" s="9" t="n">
        <f aca="false">C12*E12</f>
        <v>484</v>
      </c>
      <c r="G12" s="9" t="n">
        <f aca="false">E12*1.81818181818182</f>
        <v>40</v>
      </c>
      <c r="H12" s="9" t="n">
        <f aca="false">C12*G12</f>
        <v>880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1400</v>
      </c>
      <c r="D13" s="7" t="s">
        <v>43</v>
      </c>
      <c r="E13" s="9" t="n">
        <v>4.5</v>
      </c>
      <c r="F13" s="9" t="n">
        <f aca="false">C13*E13</f>
        <v>6300</v>
      </c>
      <c r="G13" s="9" t="n">
        <f aca="false">E13*1.81818181818182</f>
        <v>8.18181818181818</v>
      </c>
      <c r="H13" s="9" t="n">
        <f aca="false">C13*G13</f>
        <v>11454.5454545455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960</v>
      </c>
      <c r="D14" s="7" t="s">
        <v>43</v>
      </c>
      <c r="E14" s="9" t="n">
        <v>3.5</v>
      </c>
      <c r="F14" s="9" t="n">
        <f aca="false">C14*E14</f>
        <v>3360</v>
      </c>
      <c r="G14" s="9" t="n">
        <f aca="false">E14*1.81818181818182</f>
        <v>6.36363636363636</v>
      </c>
      <c r="H14" s="9" t="n">
        <f aca="false">C14*G14</f>
        <v>6109.09090909091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6" t="s">
        <v>50</v>
      </c>
      <c r="B15" s="7" t="s">
        <v>51</v>
      </c>
      <c r="C15" s="8" t="n">
        <v>68</v>
      </c>
      <c r="D15" s="7" t="s">
        <v>52</v>
      </c>
      <c r="E15" s="9" t="n">
        <v>86</v>
      </c>
      <c r="F15" s="9" t="n">
        <f aca="false">C15*E15</f>
        <v>5848</v>
      </c>
      <c r="G15" s="9" t="n">
        <f aca="false">E15*1.81818181818182</f>
        <v>156.363636363636</v>
      </c>
      <c r="H15" s="9" t="n">
        <f aca="false">C15*G15</f>
        <v>10632.7272727273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53</v>
      </c>
      <c r="C16" s="8" t="n">
        <v>100</v>
      </c>
      <c r="D16" s="7" t="s">
        <v>43</v>
      </c>
      <c r="E16" s="9" t="n">
        <v>1.5</v>
      </c>
      <c r="F16" s="9" t="n">
        <f aca="false">C16*E16</f>
        <v>150</v>
      </c>
      <c r="G16" s="9" t="n">
        <f aca="false">E16*1.81818181818182</f>
        <v>2.72727272727273</v>
      </c>
      <c r="H16" s="9" t="n">
        <f aca="false">C16*G16</f>
        <v>272.727272727273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54</v>
      </c>
      <c r="C17" s="8" t="n">
        <v>68</v>
      </c>
      <c r="D17" s="7" t="s">
        <v>40</v>
      </c>
      <c r="E17" s="9" t="n">
        <v>2</v>
      </c>
      <c r="F17" s="9" t="n">
        <f aca="false">C17*E17</f>
        <v>136</v>
      </c>
      <c r="G17" s="9" t="n">
        <f aca="false">E17*1.81818181818182</f>
        <v>3.63636363636364</v>
      </c>
      <c r="H17" s="9" t="n">
        <f aca="false">C17*G17</f>
        <v>247.272727272727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55</v>
      </c>
      <c r="C18" s="8" t="n">
        <v>1360</v>
      </c>
      <c r="D18" s="7" t="s">
        <v>40</v>
      </c>
      <c r="E18" s="9" t="n">
        <v>0.18</v>
      </c>
      <c r="F18" s="9" t="n">
        <f aca="false">C18*E18</f>
        <v>244.8</v>
      </c>
      <c r="G18" s="9" t="n">
        <f aca="false">E18*1.81818181818182</f>
        <v>0.327272727272727</v>
      </c>
      <c r="H18" s="9" t="n">
        <f aca="false">C18*G18</f>
        <v>445.090909090909</v>
      </c>
      <c r="I18" s="10" t="n">
        <f aca="false">(H18-F18)/H18*100</f>
        <v>45</v>
      </c>
    </row>
    <row r="19" customFormat="false" ht="15" hidden="false" customHeight="false" outlineLevel="0" collapsed="false">
      <c r="A19" s="11" t="s">
        <v>56</v>
      </c>
      <c r="B19" s="7" t="s">
        <v>83</v>
      </c>
      <c r="C19" s="8" t="n">
        <v>107</v>
      </c>
      <c r="D19" s="7" t="s">
        <v>52</v>
      </c>
      <c r="E19" s="9" t="n">
        <v>42</v>
      </c>
      <c r="F19" s="9" t="n">
        <f aca="false">C19*E19</f>
        <v>4494</v>
      </c>
      <c r="G19" s="9" t="n">
        <f aca="false">E19*1.81818181818182</f>
        <v>76.3636363636364</v>
      </c>
      <c r="H19" s="9" t="n">
        <f aca="false">C19*G19</f>
        <v>8170.90909090909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58</v>
      </c>
      <c r="C20" s="8" t="n">
        <v>40</v>
      </c>
      <c r="D20" s="7" t="s">
        <v>52</v>
      </c>
      <c r="E20" s="9" t="n">
        <v>18</v>
      </c>
      <c r="F20" s="9" t="n">
        <f aca="false">C20*E20</f>
        <v>720</v>
      </c>
      <c r="G20" s="9" t="n">
        <f aca="false">E20*1.81818181818182</f>
        <v>32.7272727272727</v>
      </c>
      <c r="H20" s="9" t="n">
        <f aca="false">C20*G20</f>
        <v>1309.09090909091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59</v>
      </c>
      <c r="C21" s="8" t="n">
        <v>1920</v>
      </c>
      <c r="D21" s="7" t="s">
        <v>40</v>
      </c>
      <c r="E21" s="9" t="n">
        <v>0.16</v>
      </c>
      <c r="F21" s="9" t="n">
        <f aca="false">C21*E21</f>
        <v>307.2</v>
      </c>
      <c r="G21" s="9" t="n">
        <f aca="false">E21*1.81818181818182</f>
        <v>0.290909090909091</v>
      </c>
      <c r="H21" s="9" t="n">
        <f aca="false">C21*G21</f>
        <v>558.545454545455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60</v>
      </c>
      <c r="C22" s="8" t="n">
        <v>14</v>
      </c>
      <c r="D22" s="7" t="s">
        <v>40</v>
      </c>
      <c r="E22" s="9" t="n">
        <v>2.5</v>
      </c>
      <c r="F22" s="9" t="n">
        <f aca="false">C22*E22</f>
        <v>35</v>
      </c>
      <c r="G22" s="9" t="n">
        <f aca="false">E22*1.81818181818182</f>
        <v>4.54545454545455</v>
      </c>
      <c r="H22" s="9" t="n">
        <f aca="false">C22*G22</f>
        <v>63.6363636363636</v>
      </c>
      <c r="I22" s="10" t="n">
        <f aca="false">(H22-F22)/H22*100</f>
        <v>45</v>
      </c>
    </row>
    <row r="23" customFormat="false" ht="15" hidden="false" customHeight="false" outlineLevel="0" collapsed="false">
      <c r="A23" s="6" t="s">
        <v>61</v>
      </c>
      <c r="B23" s="7" t="s">
        <v>62</v>
      </c>
      <c r="C23" s="8" t="n">
        <v>200</v>
      </c>
      <c r="D23" s="7" t="s">
        <v>43</v>
      </c>
      <c r="E23" s="9" t="n">
        <v>1.25</v>
      </c>
      <c r="F23" s="9" t="n">
        <f aca="false">C23*E23</f>
        <v>250</v>
      </c>
      <c r="G23" s="9" t="n">
        <f aca="false">E23*1.81818181818182</f>
        <v>2.27272727272727</v>
      </c>
      <c r="H23" s="9" t="n">
        <f aca="false">C23*G23</f>
        <v>454.545454545455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63</v>
      </c>
      <c r="C24" s="8" t="n">
        <v>123.69316876853</v>
      </c>
      <c r="D24" s="7" t="s">
        <v>43</v>
      </c>
      <c r="E24" s="9" t="n">
        <v>1.5</v>
      </c>
      <c r="F24" s="9" t="n">
        <f aca="false">C24*E24</f>
        <v>185.539753152795</v>
      </c>
      <c r="G24" s="9" t="n">
        <f aca="false">E24*1.81818181818182</f>
        <v>2.72727272727273</v>
      </c>
      <c r="H24" s="9" t="n">
        <f aca="false">C24*G24</f>
        <v>337.345005732354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64</v>
      </c>
      <c r="C25" s="8" t="n">
        <v>48</v>
      </c>
      <c r="D25" s="7" t="s">
        <v>43</v>
      </c>
      <c r="E25" s="9" t="n">
        <v>1.75</v>
      </c>
      <c r="F25" s="9" t="n">
        <f aca="false">C25*E25</f>
        <v>84</v>
      </c>
      <c r="G25" s="9" t="n">
        <f aca="false">E25*1.81818181818182</f>
        <v>3.18181818181818</v>
      </c>
      <c r="H25" s="9" t="n">
        <f aca="false">C25*G25</f>
        <v>152.727272727273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65</v>
      </c>
      <c r="C26" s="8" t="n">
        <v>320</v>
      </c>
      <c r="D26" s="7" t="s">
        <v>43</v>
      </c>
      <c r="E26" s="9" t="n">
        <v>0.75</v>
      </c>
      <c r="F26" s="9" t="n">
        <f aca="false">C26*E26</f>
        <v>240</v>
      </c>
      <c r="G26" s="9" t="n">
        <f aca="false">E26*1.81818181818182</f>
        <v>1.36363636363636</v>
      </c>
      <c r="H26" s="9" t="n">
        <f aca="false">C26*G26</f>
        <v>436.363636363636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66</v>
      </c>
      <c r="C27" s="8" t="n">
        <v>200</v>
      </c>
      <c r="D27" s="7" t="s">
        <v>43</v>
      </c>
      <c r="E27" s="9" t="n">
        <v>0.85</v>
      </c>
      <c r="F27" s="9" t="n">
        <f aca="false">C27*E27</f>
        <v>170</v>
      </c>
      <c r="G27" s="9" t="n">
        <f aca="false">E27*1.81818181818182</f>
        <v>1.54545454545455</v>
      </c>
      <c r="H27" s="9" t="n">
        <f aca="false">C27*G27</f>
        <v>309.090909090909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67</v>
      </c>
      <c r="C28" s="8" t="n">
        <v>61.8465843842649</v>
      </c>
      <c r="D28" s="7" t="s">
        <v>43</v>
      </c>
      <c r="E28" s="9" t="n">
        <v>1</v>
      </c>
      <c r="F28" s="9" t="n">
        <f aca="false">C28*E28</f>
        <v>61.8465843842649</v>
      </c>
      <c r="G28" s="9" t="n">
        <f aca="false">E28*1.81818181818182</f>
        <v>1.81818181818182</v>
      </c>
      <c r="H28" s="9" t="n">
        <f aca="false">C28*G28</f>
        <v>112.448335244118</v>
      </c>
      <c r="I28" s="10" t="n">
        <f aca="false">(H28-F28)/H28*100</f>
        <v>45</v>
      </c>
    </row>
    <row r="29" customFormat="false" ht="15" hidden="false" customHeight="false" outlineLevel="0" collapsed="false">
      <c r="A29" s="11" t="s">
        <v>68</v>
      </c>
      <c r="B29" s="7" t="s">
        <v>69</v>
      </c>
      <c r="C29" s="8" t="n">
        <v>110</v>
      </c>
      <c r="D29" s="7" t="s">
        <v>40</v>
      </c>
      <c r="E29" s="9" t="n">
        <v>1.25</v>
      </c>
      <c r="F29" s="9" t="n">
        <f aca="false">C29*E29</f>
        <v>137.5</v>
      </c>
      <c r="G29" s="9" t="n">
        <f aca="false">E29*1.81818181818182</f>
        <v>2.27272727272727</v>
      </c>
      <c r="H29" s="9" t="n">
        <f aca="false">C29*G29</f>
        <v>250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70</v>
      </c>
      <c r="C30" s="8" t="n">
        <v>88</v>
      </c>
      <c r="D30" s="7" t="s">
        <v>40</v>
      </c>
      <c r="E30" s="9" t="n">
        <v>0.85</v>
      </c>
      <c r="F30" s="9" t="n">
        <f aca="false">C30*E30</f>
        <v>74.8</v>
      </c>
      <c r="G30" s="9" t="n">
        <f aca="false">E30*1.81818181818182</f>
        <v>1.54545454545455</v>
      </c>
      <c r="H30" s="9" t="n">
        <f aca="false">C30*G30</f>
        <v>136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71</v>
      </c>
      <c r="C31" s="8" t="n">
        <v>700</v>
      </c>
      <c r="D31" s="7" t="s">
        <v>40</v>
      </c>
      <c r="E31" s="9" t="n">
        <v>0.15</v>
      </c>
      <c r="F31" s="9" t="n">
        <f aca="false">C31*E31</f>
        <v>105</v>
      </c>
      <c r="G31" s="9" t="n">
        <f aca="false">E31*1.81818181818182</f>
        <v>0.272727272727273</v>
      </c>
      <c r="H31" s="9" t="n">
        <f aca="false">C31*G31</f>
        <v>190.909090909091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72</v>
      </c>
      <c r="C32" s="8" t="n">
        <v>1152</v>
      </c>
      <c r="D32" s="7" t="s">
        <v>40</v>
      </c>
      <c r="E32" s="9" t="n">
        <v>0.15</v>
      </c>
      <c r="F32" s="9" t="n">
        <f aca="false">C32*E32</f>
        <v>172.8</v>
      </c>
      <c r="G32" s="9" t="n">
        <f aca="false">E32*1.81818181818182</f>
        <v>0.272727272727273</v>
      </c>
      <c r="H32" s="9" t="n">
        <f aca="false">C32*G32</f>
        <v>314.181818181818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73</v>
      </c>
      <c r="C33" s="8" t="n">
        <v>3</v>
      </c>
      <c r="D33" s="7" t="s">
        <v>74</v>
      </c>
      <c r="E33" s="9" t="n">
        <v>35</v>
      </c>
      <c r="F33" s="9" t="n">
        <f aca="false">C33*E33</f>
        <v>105</v>
      </c>
      <c r="G33" s="9" t="n">
        <f aca="false">E33*1.81818181818182</f>
        <v>63.6363636363636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75</v>
      </c>
      <c r="C34" s="8" t="n">
        <v>39</v>
      </c>
      <c r="D34" s="7" t="s">
        <v>76</v>
      </c>
      <c r="E34" s="9" t="n">
        <v>12</v>
      </c>
      <c r="F34" s="9" t="n">
        <f aca="false">C34*E34</f>
        <v>468</v>
      </c>
      <c r="G34" s="9" t="n">
        <f aca="false">E34*1.81818181818182</f>
        <v>21.8181818181818</v>
      </c>
      <c r="H34" s="9" t="n">
        <f aca="false">C34*G34</f>
        <v>850.909090909091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77</v>
      </c>
      <c r="C35" s="8" t="n">
        <v>1</v>
      </c>
      <c r="D35" s="7" t="s">
        <v>78</v>
      </c>
      <c r="E35" s="9" t="n">
        <v>125</v>
      </c>
      <c r="F35" s="9" t="n">
        <f aca="false">C35*E35</f>
        <v>125</v>
      </c>
      <c r="G35" s="9" t="n">
        <f aca="false">E35*1.81818181818182</f>
        <v>227.272727272727</v>
      </c>
      <c r="H35" s="9" t="n">
        <f aca="false">C35*G35</f>
        <v>227.272727272727</v>
      </c>
      <c r="I35" s="10" t="n">
        <f aca="false">(H35-F35)/H35*100</f>
        <v>45</v>
      </c>
    </row>
    <row r="36" customFormat="false" ht="15" hidden="false" customHeight="false" outlineLevel="0" collapsed="false">
      <c r="A36" s="12" t="s">
        <v>79</v>
      </c>
      <c r="B36" s="12"/>
      <c r="C36" s="12"/>
      <c r="D36" s="12"/>
      <c r="F36" s="13" t="n">
        <f aca="false">SUM(F8:F35)</f>
        <v>37413.4863375371</v>
      </c>
      <c r="H36" s="13" t="n">
        <f aca="false">SUM(H8:H35)</f>
        <v>68024.5206137038</v>
      </c>
      <c r="I36" s="14" t="n">
        <f aca="false">(H36-F36)/H36*100</f>
        <v>45</v>
      </c>
    </row>
  </sheetData>
  <mergeCells count="2">
    <mergeCell ref="A1:I1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107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85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108</v>
      </c>
      <c r="C8" s="8" t="n">
        <v>22</v>
      </c>
      <c r="D8" s="7" t="s">
        <v>40</v>
      </c>
      <c r="E8" s="9" t="n">
        <v>185</v>
      </c>
      <c r="F8" s="9" t="n">
        <f aca="false">C8*E8</f>
        <v>4070</v>
      </c>
      <c r="G8" s="9" t="n">
        <f aca="false">E8*1.81818181818182</f>
        <v>336.363636363636</v>
      </c>
      <c r="H8" s="9" t="n">
        <f aca="false">C8*G8</f>
        <v>7400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25</v>
      </c>
      <c r="D9" s="7" t="s">
        <v>40</v>
      </c>
      <c r="E9" s="9" t="n">
        <v>350</v>
      </c>
      <c r="F9" s="9" t="n">
        <f aca="false">C9*E9</f>
        <v>8750</v>
      </c>
      <c r="G9" s="9" t="n">
        <f aca="false">E9*1.81818181818182</f>
        <v>636.363636363636</v>
      </c>
      <c r="H9" s="9" t="n">
        <f aca="false">C9*G9</f>
        <v>15909.0909090909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3</v>
      </c>
      <c r="F10" s="9" t="n">
        <f aca="false">C10*E10</f>
        <v>960</v>
      </c>
      <c r="G10" s="9" t="n">
        <f aca="false">E10*1.81818181818182</f>
        <v>5.45454545454545</v>
      </c>
      <c r="H10" s="9" t="n">
        <f aca="false">C10*G10</f>
        <v>1745.45454545455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6</v>
      </c>
      <c r="D11" s="7" t="s">
        <v>45</v>
      </c>
      <c r="E11" s="9" t="n">
        <v>45</v>
      </c>
      <c r="F11" s="9" t="n">
        <f aca="false">C11*E11</f>
        <v>270</v>
      </c>
      <c r="G11" s="9" t="n">
        <f aca="false">E11*1.81818181818182</f>
        <v>81.8181818181818</v>
      </c>
      <c r="H11" s="9" t="n">
        <f aca="false">C11*G11</f>
        <v>490.909090909091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46</v>
      </c>
      <c r="C12" s="8" t="n">
        <v>22</v>
      </c>
      <c r="D12" s="7" t="s">
        <v>40</v>
      </c>
      <c r="E12" s="9" t="n">
        <v>26</v>
      </c>
      <c r="F12" s="9" t="n">
        <f aca="false">C12*E12</f>
        <v>572</v>
      </c>
      <c r="G12" s="9" t="n">
        <f aca="false">E12*1.81818181818182</f>
        <v>47.2727272727273</v>
      </c>
      <c r="H12" s="9" t="n">
        <f aca="false">C12*G12</f>
        <v>1040</v>
      </c>
      <c r="I12" s="10" t="n">
        <f aca="false">(H12-F12)/H12*100</f>
        <v>45</v>
      </c>
    </row>
    <row r="13" customFormat="false" ht="15" hidden="false" customHeight="false" outlineLevel="0" collapsed="false">
      <c r="A13" s="11" t="s">
        <v>47</v>
      </c>
      <c r="B13" s="7" t="s">
        <v>48</v>
      </c>
      <c r="C13" s="8" t="n">
        <v>1400</v>
      </c>
      <c r="D13" s="7" t="s">
        <v>43</v>
      </c>
      <c r="E13" s="9" t="n">
        <v>4.5</v>
      </c>
      <c r="F13" s="9" t="n">
        <f aca="false">C13*E13</f>
        <v>6300</v>
      </c>
      <c r="G13" s="9" t="n">
        <f aca="false">E13*1.81818181818182</f>
        <v>8.18181818181818</v>
      </c>
      <c r="H13" s="9" t="n">
        <f aca="false">C13*G13</f>
        <v>11454.5454545455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49</v>
      </c>
      <c r="C14" s="8" t="n">
        <v>960</v>
      </c>
      <c r="D14" s="7" t="s">
        <v>43</v>
      </c>
      <c r="E14" s="9" t="n">
        <v>3.5</v>
      </c>
      <c r="F14" s="9" t="n">
        <f aca="false">C14*E14</f>
        <v>3360</v>
      </c>
      <c r="G14" s="9" t="n">
        <f aca="false">E14*1.81818181818182</f>
        <v>6.36363636363636</v>
      </c>
      <c r="H14" s="9" t="n">
        <f aca="false">C14*G14</f>
        <v>6109.09090909091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87</v>
      </c>
      <c r="C15" s="8" t="n">
        <v>10</v>
      </c>
      <c r="D15" s="7" t="s">
        <v>45</v>
      </c>
      <c r="E15" s="9" t="n">
        <v>8.5</v>
      </c>
      <c r="F15" s="9" t="n">
        <f aca="false">C15*E15</f>
        <v>85</v>
      </c>
      <c r="G15" s="9" t="n">
        <f aca="false">E15*1.81818181818182</f>
        <v>15.4545454545455</v>
      </c>
      <c r="H15" s="9" t="n">
        <f aca="false">C15*G15</f>
        <v>154.545454545455</v>
      </c>
      <c r="I15" s="10" t="n">
        <f aca="false">(H15-F15)/H15*100</f>
        <v>45</v>
      </c>
    </row>
    <row r="16" customFormat="false" ht="15" hidden="false" customHeight="false" outlineLevel="0" collapsed="false">
      <c r="A16" s="6" t="s">
        <v>50</v>
      </c>
      <c r="B16" s="7" t="s">
        <v>51</v>
      </c>
      <c r="C16" s="8" t="n">
        <v>68</v>
      </c>
      <c r="D16" s="7" t="s">
        <v>52</v>
      </c>
      <c r="E16" s="9" t="n">
        <v>86</v>
      </c>
      <c r="F16" s="9" t="n">
        <f aca="false">C16*E16</f>
        <v>5848</v>
      </c>
      <c r="G16" s="9" t="n">
        <f aca="false">E16*1.81818181818182</f>
        <v>156.363636363636</v>
      </c>
      <c r="H16" s="9" t="n">
        <f aca="false">C16*G16</f>
        <v>10632.7272727273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53</v>
      </c>
      <c r="C17" s="8" t="n">
        <v>100</v>
      </c>
      <c r="D17" s="7" t="s">
        <v>43</v>
      </c>
      <c r="E17" s="9" t="n">
        <v>1.5</v>
      </c>
      <c r="F17" s="9" t="n">
        <f aca="false">C17*E17</f>
        <v>150</v>
      </c>
      <c r="G17" s="9" t="n">
        <f aca="false">E17*1.81818181818182</f>
        <v>2.72727272727273</v>
      </c>
      <c r="H17" s="9" t="n">
        <f aca="false">C17*G17</f>
        <v>272.727272727273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54</v>
      </c>
      <c r="C18" s="8" t="n">
        <v>68</v>
      </c>
      <c r="D18" s="7" t="s">
        <v>40</v>
      </c>
      <c r="E18" s="9" t="n">
        <v>2</v>
      </c>
      <c r="F18" s="9" t="n">
        <f aca="false">C18*E18</f>
        <v>136</v>
      </c>
      <c r="G18" s="9" t="n">
        <f aca="false">E18*1.81818181818182</f>
        <v>3.63636363636364</v>
      </c>
      <c r="H18" s="9" t="n">
        <f aca="false">C18*G18</f>
        <v>247.272727272727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55</v>
      </c>
      <c r="C19" s="8" t="n">
        <v>1360</v>
      </c>
      <c r="D19" s="7" t="s">
        <v>40</v>
      </c>
      <c r="E19" s="9" t="n">
        <v>0.18</v>
      </c>
      <c r="F19" s="9" t="n">
        <f aca="false">C19*E19</f>
        <v>244.8</v>
      </c>
      <c r="G19" s="9" t="n">
        <f aca="false">E19*1.81818181818182</f>
        <v>0.327272727272727</v>
      </c>
      <c r="H19" s="9" t="n">
        <f aca="false">C19*G19</f>
        <v>445.090909090909</v>
      </c>
      <c r="I19" s="10" t="n">
        <f aca="false">(H19-F19)/H19*100</f>
        <v>45</v>
      </c>
    </row>
    <row r="20" customFormat="false" ht="15" hidden="false" customHeight="false" outlineLevel="0" collapsed="false">
      <c r="A20" s="11" t="s">
        <v>56</v>
      </c>
      <c r="B20" s="7" t="s">
        <v>88</v>
      </c>
      <c r="C20" s="8" t="n">
        <v>107</v>
      </c>
      <c r="D20" s="7" t="s">
        <v>52</v>
      </c>
      <c r="E20" s="9" t="n">
        <v>49</v>
      </c>
      <c r="F20" s="9" t="n">
        <f aca="false">C20*E20</f>
        <v>5243</v>
      </c>
      <c r="G20" s="9" t="n">
        <f aca="false">E20*1.81818181818182</f>
        <v>89.0909090909091</v>
      </c>
      <c r="H20" s="9" t="n">
        <f aca="false">C20*G20</f>
        <v>9532.72727272727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58</v>
      </c>
      <c r="C21" s="8" t="n">
        <v>40</v>
      </c>
      <c r="D21" s="7" t="s">
        <v>52</v>
      </c>
      <c r="E21" s="9" t="n">
        <v>18</v>
      </c>
      <c r="F21" s="9" t="n">
        <f aca="false">C21*E21</f>
        <v>720</v>
      </c>
      <c r="G21" s="9" t="n">
        <f aca="false">E21*1.81818181818182</f>
        <v>32.7272727272727</v>
      </c>
      <c r="H21" s="9" t="n">
        <f aca="false">C21*G21</f>
        <v>1309.09090909091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59</v>
      </c>
      <c r="C22" s="8" t="n">
        <v>2240</v>
      </c>
      <c r="D22" s="7" t="s">
        <v>40</v>
      </c>
      <c r="E22" s="9" t="n">
        <v>0.16</v>
      </c>
      <c r="F22" s="9" t="n">
        <f aca="false">C22*E22</f>
        <v>358.4</v>
      </c>
      <c r="G22" s="9" t="n">
        <f aca="false">E22*1.81818181818182</f>
        <v>0.290909090909091</v>
      </c>
      <c r="H22" s="9" t="n">
        <f aca="false">C22*G22</f>
        <v>651.636363636364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60</v>
      </c>
      <c r="C23" s="8" t="n">
        <v>14</v>
      </c>
      <c r="D23" s="7" t="s">
        <v>40</v>
      </c>
      <c r="E23" s="9" t="n">
        <v>2.5</v>
      </c>
      <c r="F23" s="9" t="n">
        <f aca="false">C23*E23</f>
        <v>35</v>
      </c>
      <c r="G23" s="9" t="n">
        <f aca="false">E23*1.81818181818182</f>
        <v>4.54545454545455</v>
      </c>
      <c r="H23" s="9" t="n">
        <f aca="false">C23*G23</f>
        <v>63.6363636363636</v>
      </c>
      <c r="I23" s="10" t="n">
        <f aca="false">(H23-F23)/H23*100</f>
        <v>45</v>
      </c>
    </row>
    <row r="24" customFormat="false" ht="15" hidden="false" customHeight="false" outlineLevel="0" collapsed="false">
      <c r="A24" s="6" t="s">
        <v>61</v>
      </c>
      <c r="B24" s="7" t="s">
        <v>62</v>
      </c>
      <c r="C24" s="8" t="n">
        <v>200</v>
      </c>
      <c r="D24" s="7" t="s">
        <v>43</v>
      </c>
      <c r="E24" s="9" t="n">
        <v>1.25</v>
      </c>
      <c r="F24" s="9" t="n">
        <f aca="false">C24*E24</f>
        <v>250</v>
      </c>
      <c r="G24" s="9" t="n">
        <f aca="false">E24*1.81818181818182</f>
        <v>2.27272727272727</v>
      </c>
      <c r="H24" s="9" t="n">
        <f aca="false">C24*G24</f>
        <v>454.545454545455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63</v>
      </c>
      <c r="C25" s="8" t="n">
        <v>123.69316876853</v>
      </c>
      <c r="D25" s="7" t="s">
        <v>43</v>
      </c>
      <c r="E25" s="9" t="n">
        <v>1.5</v>
      </c>
      <c r="F25" s="9" t="n">
        <f aca="false">C25*E25</f>
        <v>185.539753152795</v>
      </c>
      <c r="G25" s="9" t="n">
        <f aca="false">E25*1.81818181818182</f>
        <v>2.72727272727273</v>
      </c>
      <c r="H25" s="9" t="n">
        <f aca="false">C25*G25</f>
        <v>337.345005732354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64</v>
      </c>
      <c r="C26" s="8" t="n">
        <v>56</v>
      </c>
      <c r="D26" s="7" t="s">
        <v>43</v>
      </c>
      <c r="E26" s="9" t="n">
        <v>1.75</v>
      </c>
      <c r="F26" s="9" t="n">
        <f aca="false">C26*E26</f>
        <v>98</v>
      </c>
      <c r="G26" s="9" t="n">
        <f aca="false">E26*1.81818181818182</f>
        <v>3.18181818181818</v>
      </c>
      <c r="H26" s="9" t="n">
        <f aca="false">C26*G26</f>
        <v>178.181818181818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65</v>
      </c>
      <c r="C27" s="8" t="n">
        <v>320</v>
      </c>
      <c r="D27" s="7" t="s">
        <v>43</v>
      </c>
      <c r="E27" s="9" t="n">
        <v>0.75</v>
      </c>
      <c r="F27" s="9" t="n">
        <f aca="false">C27*E27</f>
        <v>240</v>
      </c>
      <c r="G27" s="9" t="n">
        <f aca="false">E27*1.81818181818182</f>
        <v>1.36363636363636</v>
      </c>
      <c r="H27" s="9" t="n">
        <f aca="false">C27*G27</f>
        <v>436.363636363636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66</v>
      </c>
      <c r="C28" s="8" t="n">
        <v>200</v>
      </c>
      <c r="D28" s="7" t="s">
        <v>43</v>
      </c>
      <c r="E28" s="9" t="n">
        <v>0.85</v>
      </c>
      <c r="F28" s="9" t="n">
        <f aca="false">C28*E28</f>
        <v>170</v>
      </c>
      <c r="G28" s="9" t="n">
        <f aca="false">E28*1.81818181818182</f>
        <v>1.54545454545455</v>
      </c>
      <c r="H28" s="9" t="n">
        <f aca="false">C28*G28</f>
        <v>309.090909090909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67</v>
      </c>
      <c r="C29" s="8" t="n">
        <v>61.8465843842649</v>
      </c>
      <c r="D29" s="7" t="s">
        <v>43</v>
      </c>
      <c r="E29" s="9" t="n">
        <v>1</v>
      </c>
      <c r="F29" s="9" t="n">
        <f aca="false">C29*E29</f>
        <v>61.8465843842649</v>
      </c>
      <c r="G29" s="9" t="n">
        <f aca="false">E29*1.81818181818182</f>
        <v>1.81818181818182</v>
      </c>
      <c r="H29" s="9" t="n">
        <f aca="false">C29*G29</f>
        <v>112.448335244118</v>
      </c>
      <c r="I29" s="10" t="n">
        <f aca="false">(H29-F29)/H29*100</f>
        <v>45</v>
      </c>
    </row>
    <row r="30" customFormat="false" ht="15" hidden="false" customHeight="false" outlineLevel="0" collapsed="false">
      <c r="A30" s="11" t="s">
        <v>68</v>
      </c>
      <c r="B30" s="7" t="s">
        <v>69</v>
      </c>
      <c r="C30" s="8" t="n">
        <v>132</v>
      </c>
      <c r="D30" s="7" t="s">
        <v>40</v>
      </c>
      <c r="E30" s="9" t="n">
        <v>1.25</v>
      </c>
      <c r="F30" s="9" t="n">
        <f aca="false">C30*E30</f>
        <v>165</v>
      </c>
      <c r="G30" s="9" t="n">
        <f aca="false">E30*1.81818181818182</f>
        <v>2.27272727272727</v>
      </c>
      <c r="H30" s="9" t="n">
        <f aca="false">C30*G30</f>
        <v>300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70</v>
      </c>
      <c r="C31" s="8" t="n">
        <v>88</v>
      </c>
      <c r="D31" s="7" t="s">
        <v>40</v>
      </c>
      <c r="E31" s="9" t="n">
        <v>0.85</v>
      </c>
      <c r="F31" s="9" t="n">
        <f aca="false">C31*E31</f>
        <v>74.8</v>
      </c>
      <c r="G31" s="9" t="n">
        <f aca="false">E31*1.81818181818182</f>
        <v>1.54545454545455</v>
      </c>
      <c r="H31" s="9" t="n">
        <f aca="false">C31*G31</f>
        <v>136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71</v>
      </c>
      <c r="C32" s="8" t="n">
        <v>700</v>
      </c>
      <c r="D32" s="7" t="s">
        <v>40</v>
      </c>
      <c r="E32" s="9" t="n">
        <v>0.15</v>
      </c>
      <c r="F32" s="9" t="n">
        <f aca="false">C32*E32</f>
        <v>105</v>
      </c>
      <c r="G32" s="9" t="n">
        <f aca="false">E32*1.81818181818182</f>
        <v>0.272727272727273</v>
      </c>
      <c r="H32" s="9" t="n">
        <f aca="false">C32*G32</f>
        <v>190.909090909091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72</v>
      </c>
      <c r="C33" s="8" t="n">
        <v>1152</v>
      </c>
      <c r="D33" s="7" t="s">
        <v>40</v>
      </c>
      <c r="E33" s="9" t="n">
        <v>0.15</v>
      </c>
      <c r="F33" s="9" t="n">
        <f aca="false">C33*E33</f>
        <v>172.8</v>
      </c>
      <c r="G33" s="9" t="n">
        <f aca="false">E33*1.81818181818182</f>
        <v>0.272727272727273</v>
      </c>
      <c r="H33" s="9" t="n">
        <f aca="false">C33*G33</f>
        <v>314.181818181818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89</v>
      </c>
      <c r="C34" s="8" t="n">
        <v>20</v>
      </c>
      <c r="D34" s="7" t="s">
        <v>40</v>
      </c>
      <c r="E34" s="9" t="n">
        <v>12</v>
      </c>
      <c r="F34" s="9" t="n">
        <f aca="false">C34*E34</f>
        <v>240</v>
      </c>
      <c r="G34" s="9" t="n">
        <f aca="false">E34*1.81818181818182</f>
        <v>21.8181818181818</v>
      </c>
      <c r="H34" s="9" t="n">
        <f aca="false">C34*G34</f>
        <v>436.363636363636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73</v>
      </c>
      <c r="C35" s="8" t="n">
        <v>3</v>
      </c>
      <c r="D35" s="7" t="s">
        <v>74</v>
      </c>
      <c r="E35" s="9" t="n">
        <v>35</v>
      </c>
      <c r="F35" s="9" t="n">
        <f aca="false">C35*E35</f>
        <v>105</v>
      </c>
      <c r="G35" s="9" t="n">
        <f aca="false">E35*1.81818181818182</f>
        <v>63.6363636363636</v>
      </c>
      <c r="H35" s="9" t="n">
        <f aca="false">C35*G35</f>
        <v>190.909090909091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75</v>
      </c>
      <c r="C36" s="8" t="n">
        <v>45</v>
      </c>
      <c r="D36" s="7" t="s">
        <v>76</v>
      </c>
      <c r="E36" s="9" t="n">
        <v>12</v>
      </c>
      <c r="F36" s="9" t="n">
        <f aca="false">C36*E36</f>
        <v>540</v>
      </c>
      <c r="G36" s="9" t="n">
        <f aca="false">E36*1.81818181818182</f>
        <v>21.8181818181818</v>
      </c>
      <c r="H36" s="9" t="n">
        <f aca="false">C36*G36</f>
        <v>981.818181818182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77</v>
      </c>
      <c r="C37" s="8" t="n">
        <v>1</v>
      </c>
      <c r="D37" s="7" t="s">
        <v>78</v>
      </c>
      <c r="E37" s="9" t="n">
        <v>125</v>
      </c>
      <c r="F37" s="9" t="n">
        <f aca="false">C37*E37</f>
        <v>125</v>
      </c>
      <c r="G37" s="9" t="n">
        <f aca="false">E37*1.81818181818182</f>
        <v>227.272727272727</v>
      </c>
      <c r="H37" s="9" t="n">
        <f aca="false">C37*G37</f>
        <v>227.272727272727</v>
      </c>
      <c r="I37" s="10" t="n">
        <f aca="false">(H37-F37)/H37*100</f>
        <v>45</v>
      </c>
    </row>
    <row r="38" customFormat="false" ht="15" hidden="false" customHeight="false" outlineLevel="0" collapsed="false">
      <c r="A38" s="12" t="s">
        <v>79</v>
      </c>
      <c r="B38" s="12"/>
      <c r="C38" s="12"/>
      <c r="D38" s="12"/>
      <c r="F38" s="13" t="n">
        <f aca="false">SUM(F8:F37)</f>
        <v>39635.1863375371</v>
      </c>
      <c r="H38" s="13" t="n">
        <f aca="false">SUM(H8:H37)</f>
        <v>72063.9751591583</v>
      </c>
      <c r="I38" s="14" t="n">
        <f aca="false">(H38-F38)/H38*100</f>
        <v>45</v>
      </c>
    </row>
  </sheetData>
  <mergeCells count="2">
    <mergeCell ref="A1:I1"/>
    <mergeCell ref="A38:D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109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91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110</v>
      </c>
      <c r="C8" s="8" t="n">
        <v>22</v>
      </c>
      <c r="D8" s="7" t="s">
        <v>40</v>
      </c>
      <c r="E8" s="9" t="n">
        <v>225</v>
      </c>
      <c r="F8" s="9" t="n">
        <f aca="false">C8*E8</f>
        <v>4950</v>
      </c>
      <c r="G8" s="9" t="n">
        <f aca="false">E8*1.81818181818182</f>
        <v>409.090909090909</v>
      </c>
      <c r="H8" s="9" t="n">
        <f aca="false">C8*G8</f>
        <v>9000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25</v>
      </c>
      <c r="D9" s="7" t="s">
        <v>40</v>
      </c>
      <c r="E9" s="9" t="n">
        <v>402.5</v>
      </c>
      <c r="F9" s="9" t="n">
        <f aca="false">C9*E9</f>
        <v>10062.5</v>
      </c>
      <c r="G9" s="9" t="n">
        <f aca="false">E9*1.81818181818182</f>
        <v>731.818181818182</v>
      </c>
      <c r="H9" s="9" t="n">
        <f aca="false">C9*G9</f>
        <v>18295.4545454545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3.5</v>
      </c>
      <c r="F10" s="9" t="n">
        <f aca="false">C10*E10</f>
        <v>1120</v>
      </c>
      <c r="G10" s="9" t="n">
        <f aca="false">E10*1.81818181818182</f>
        <v>6.36363636363636</v>
      </c>
      <c r="H10" s="9" t="n">
        <f aca="false">C10*G10</f>
        <v>2036.36363636364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7</v>
      </c>
      <c r="D11" s="7" t="s">
        <v>45</v>
      </c>
      <c r="E11" s="9" t="n">
        <v>45</v>
      </c>
      <c r="F11" s="9" t="n">
        <f aca="false">C11*E11</f>
        <v>315</v>
      </c>
      <c r="G11" s="9" t="n">
        <f aca="false">E11*1.81818181818182</f>
        <v>81.8181818181818</v>
      </c>
      <c r="H11" s="9" t="n">
        <f aca="false">C11*G11</f>
        <v>572.727272727273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2</v>
      </c>
      <c r="D12" s="7" t="s">
        <v>94</v>
      </c>
      <c r="E12" s="9" t="n">
        <v>185</v>
      </c>
      <c r="F12" s="9" t="n">
        <f aca="false">C12*E12</f>
        <v>370</v>
      </c>
      <c r="G12" s="9" t="n">
        <f aca="false">E12*1.81818181818182</f>
        <v>336.363636363636</v>
      </c>
      <c r="H12" s="9" t="n">
        <f aca="false">C12*G12</f>
        <v>672.727272727273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22</v>
      </c>
      <c r="D13" s="7" t="s">
        <v>40</v>
      </c>
      <c r="E13" s="9" t="n">
        <v>32</v>
      </c>
      <c r="F13" s="9" t="n">
        <f aca="false">C13*E13</f>
        <v>704</v>
      </c>
      <c r="G13" s="9" t="n">
        <f aca="false">E13*1.81818181818182</f>
        <v>58.1818181818182</v>
      </c>
      <c r="H13" s="9" t="n">
        <f aca="false">C13*G13</f>
        <v>1280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1400</v>
      </c>
      <c r="D14" s="7" t="s">
        <v>43</v>
      </c>
      <c r="E14" s="9" t="n">
        <v>4.5</v>
      </c>
      <c r="F14" s="9" t="n">
        <f aca="false">C14*E14</f>
        <v>6300</v>
      </c>
      <c r="G14" s="9" t="n">
        <f aca="false">E14*1.81818181818182</f>
        <v>8.18181818181818</v>
      </c>
      <c r="H14" s="9" t="n">
        <f aca="false">C14*G14</f>
        <v>11454.5454545455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1280</v>
      </c>
      <c r="D15" s="7" t="s">
        <v>43</v>
      </c>
      <c r="E15" s="9" t="n">
        <v>4</v>
      </c>
      <c r="F15" s="9" t="n">
        <f aca="false">C15*E15</f>
        <v>5120</v>
      </c>
      <c r="G15" s="9" t="n">
        <f aca="false">E15*1.81818181818182</f>
        <v>7.27272727272727</v>
      </c>
      <c r="H15" s="9" t="n">
        <f aca="false">C15*G15</f>
        <v>9309.09090909091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20</v>
      </c>
      <c r="D16" s="7" t="s">
        <v>45</v>
      </c>
      <c r="E16" s="9" t="n">
        <v>8.5</v>
      </c>
      <c r="F16" s="9" t="n">
        <f aca="false">C16*E16</f>
        <v>170</v>
      </c>
      <c r="G16" s="9" t="n">
        <f aca="false">E16*1.81818181818182</f>
        <v>15.4545454545455</v>
      </c>
      <c r="H16" s="9" t="n">
        <f aca="false">C16*G16</f>
        <v>309.090909090909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68</v>
      </c>
      <c r="D17" s="7" t="s">
        <v>52</v>
      </c>
      <c r="E17" s="9" t="n">
        <v>86</v>
      </c>
      <c r="F17" s="9" t="n">
        <f aca="false">C17*E17</f>
        <v>5848</v>
      </c>
      <c r="G17" s="9" t="n">
        <f aca="false">E17*1.81818181818182</f>
        <v>156.363636363636</v>
      </c>
      <c r="H17" s="9" t="n">
        <f aca="false">C17*G17</f>
        <v>10632.7272727273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100</v>
      </c>
      <c r="D18" s="7" t="s">
        <v>43</v>
      </c>
      <c r="E18" s="9" t="n">
        <v>1.5</v>
      </c>
      <c r="F18" s="9" t="n">
        <f aca="false">C18*E18</f>
        <v>150</v>
      </c>
      <c r="G18" s="9" t="n">
        <f aca="false">E18*1.81818181818182</f>
        <v>2.72727272727273</v>
      </c>
      <c r="H18" s="9" t="n">
        <f aca="false">C18*G18</f>
        <v>272.727272727273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68</v>
      </c>
      <c r="D19" s="7" t="s">
        <v>40</v>
      </c>
      <c r="E19" s="9" t="n">
        <v>2</v>
      </c>
      <c r="F19" s="9" t="n">
        <f aca="false">C19*E19</f>
        <v>136</v>
      </c>
      <c r="G19" s="9" t="n">
        <f aca="false">E19*1.81818181818182</f>
        <v>3.63636363636364</v>
      </c>
      <c r="H19" s="9" t="n">
        <f aca="false">C19*G19</f>
        <v>247.272727272727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1360</v>
      </c>
      <c r="D20" s="7" t="s">
        <v>40</v>
      </c>
      <c r="E20" s="9" t="n">
        <v>0.18</v>
      </c>
      <c r="F20" s="9" t="n">
        <f aca="false">C20*E20</f>
        <v>244.8</v>
      </c>
      <c r="G20" s="9" t="n">
        <f aca="false">E20*1.81818181818182</f>
        <v>0.327272727272727</v>
      </c>
      <c r="H20" s="9" t="n">
        <f aca="false">C20*G20</f>
        <v>445.090909090909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95</v>
      </c>
      <c r="C21" s="8" t="n">
        <v>107</v>
      </c>
      <c r="D21" s="7" t="s">
        <v>52</v>
      </c>
      <c r="E21" s="9" t="n">
        <v>56</v>
      </c>
      <c r="F21" s="9" t="n">
        <f aca="false">C21*E21</f>
        <v>5992</v>
      </c>
      <c r="G21" s="9" t="n">
        <f aca="false">E21*1.81818181818182</f>
        <v>101.818181818182</v>
      </c>
      <c r="H21" s="9" t="n">
        <f aca="false">C21*G21</f>
        <v>10894.5454545455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2560</v>
      </c>
      <c r="D23" s="7" t="s">
        <v>40</v>
      </c>
      <c r="E23" s="9" t="n">
        <v>0.16</v>
      </c>
      <c r="F23" s="9" t="n">
        <f aca="false">C23*E23</f>
        <v>409.6</v>
      </c>
      <c r="G23" s="9" t="n">
        <f aca="false">E23*1.81818181818182</f>
        <v>0.290909090909091</v>
      </c>
      <c r="H23" s="9" t="n">
        <f aca="false">C23*G23</f>
        <v>744.727272727273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200</v>
      </c>
      <c r="D25" s="7" t="s">
        <v>43</v>
      </c>
      <c r="E25" s="9" t="n">
        <v>1.25</v>
      </c>
      <c r="F25" s="9" t="n">
        <f aca="false">C25*E25</f>
        <v>250</v>
      </c>
      <c r="G25" s="9" t="n">
        <f aca="false">E25*1.81818181818182</f>
        <v>2.27272727272727</v>
      </c>
      <c r="H25" s="9" t="n">
        <f aca="false">C25*G25</f>
        <v>454.545454545455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64</v>
      </c>
      <c r="D27" s="7" t="s">
        <v>43</v>
      </c>
      <c r="E27" s="9" t="n">
        <v>1.75</v>
      </c>
      <c r="F27" s="9" t="n">
        <f aca="false">C27*E27</f>
        <v>112</v>
      </c>
      <c r="G27" s="9" t="n">
        <f aca="false">E27*1.81818181818182</f>
        <v>3.18181818181818</v>
      </c>
      <c r="H27" s="9" t="n">
        <f aca="false">C27*G27</f>
        <v>203.636363636364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320</v>
      </c>
      <c r="D28" s="7" t="s">
        <v>43</v>
      </c>
      <c r="E28" s="9" t="n">
        <v>0.75</v>
      </c>
      <c r="F28" s="9" t="n">
        <f aca="false">C28*E28</f>
        <v>240</v>
      </c>
      <c r="G28" s="9" t="n">
        <f aca="false">E28*1.81818181818182</f>
        <v>1.36363636363636</v>
      </c>
      <c r="H28" s="9" t="n">
        <f aca="false">C28*G28</f>
        <v>436.363636363636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200</v>
      </c>
      <c r="D29" s="7" t="s">
        <v>43</v>
      </c>
      <c r="E29" s="9" t="n">
        <v>0.85</v>
      </c>
      <c r="F29" s="9" t="n">
        <f aca="false">C29*E29</f>
        <v>170</v>
      </c>
      <c r="G29" s="9" t="n">
        <f aca="false">E29*1.81818181818182</f>
        <v>1.54545454545455</v>
      </c>
      <c r="H29" s="9" t="n">
        <f aca="false">C29*G29</f>
        <v>309.090909090909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176</v>
      </c>
      <c r="D31" s="7" t="s">
        <v>40</v>
      </c>
      <c r="E31" s="9" t="n">
        <v>1.25</v>
      </c>
      <c r="F31" s="9" t="n">
        <f aca="false">C31*E31</f>
        <v>220</v>
      </c>
      <c r="G31" s="9" t="n">
        <f aca="false">E31*1.81818181818182</f>
        <v>2.27272727272727</v>
      </c>
      <c r="H31" s="9" t="n">
        <f aca="false">C31*G31</f>
        <v>400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132</v>
      </c>
      <c r="D32" s="7" t="s">
        <v>40</v>
      </c>
      <c r="E32" s="9" t="n">
        <v>0.85</v>
      </c>
      <c r="F32" s="9" t="n">
        <f aca="false">C32*E32</f>
        <v>112.2</v>
      </c>
      <c r="G32" s="9" t="n">
        <f aca="false">E32*1.81818181818182</f>
        <v>1.54545454545455</v>
      </c>
      <c r="H32" s="9" t="n">
        <f aca="false">C32*G32</f>
        <v>204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700</v>
      </c>
      <c r="D33" s="7" t="s">
        <v>40</v>
      </c>
      <c r="E33" s="9" t="n">
        <v>0.15</v>
      </c>
      <c r="F33" s="9" t="n">
        <f aca="false">C33*E33</f>
        <v>105</v>
      </c>
      <c r="G33" s="9" t="n">
        <f aca="false">E33*1.81818181818182</f>
        <v>0.272727272727273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1536</v>
      </c>
      <c r="D34" s="7" t="s">
        <v>40</v>
      </c>
      <c r="E34" s="9" t="n">
        <v>0.15</v>
      </c>
      <c r="F34" s="9" t="n">
        <f aca="false">C34*E34</f>
        <v>230.4</v>
      </c>
      <c r="G34" s="9" t="n">
        <f aca="false">E34*1.81818181818182</f>
        <v>0.272727272727273</v>
      </c>
      <c r="H34" s="9" t="n">
        <f aca="false">C34*G34</f>
        <v>418.909090909091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20</v>
      </c>
      <c r="D35" s="7" t="s">
        <v>40</v>
      </c>
      <c r="E35" s="9" t="n">
        <v>14</v>
      </c>
      <c r="F35" s="9" t="n">
        <f aca="false">C35*E35</f>
        <v>280</v>
      </c>
      <c r="G35" s="9" t="n">
        <f aca="false">E35*1.81818181818182</f>
        <v>25.4545454545455</v>
      </c>
      <c r="H35" s="9" t="n">
        <f aca="false">C35*G35</f>
        <v>509.090909090909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44</v>
      </c>
      <c r="D36" s="7" t="s">
        <v>40</v>
      </c>
      <c r="E36" s="9" t="n">
        <v>1.5</v>
      </c>
      <c r="F36" s="9" t="n">
        <f aca="false">C36*E36</f>
        <v>66</v>
      </c>
      <c r="G36" s="9" t="n">
        <f aca="false">E36*1.81818181818182</f>
        <v>2.72727272727273</v>
      </c>
      <c r="H36" s="9" t="n">
        <f aca="false">C36*G36</f>
        <v>120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52</v>
      </c>
      <c r="D38" s="7" t="s">
        <v>76</v>
      </c>
      <c r="E38" s="9" t="n">
        <v>12</v>
      </c>
      <c r="F38" s="9" t="n">
        <f aca="false">C38*E38</f>
        <v>624</v>
      </c>
      <c r="G38" s="9" t="n">
        <f aca="false">E38*1.81818181818182</f>
        <v>21.8181818181818</v>
      </c>
      <c r="H38" s="9" t="n">
        <f aca="false">C38*G38</f>
        <v>1134.54545454545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45568.8863375371</v>
      </c>
      <c r="H40" s="13" t="n">
        <f aca="false">SUM(H8:H39)</f>
        <v>82852.5206137037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6" min="5" style="0" width="14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9.5" hidden="false" customHeight="true" outlineLevel="0" collapsed="false">
      <c r="A1" s="5" t="s">
        <v>111</v>
      </c>
      <c r="B1" s="5"/>
      <c r="C1" s="5"/>
      <c r="D1" s="5"/>
      <c r="E1" s="5"/>
      <c r="F1" s="5"/>
      <c r="G1" s="5"/>
      <c r="H1" s="5"/>
      <c r="I1" s="5"/>
    </row>
    <row r="3" customFormat="false" ht="15" hidden="false" customHeight="false" outlineLevel="0" collapsed="false">
      <c r="A3" s="0" t="s">
        <v>25</v>
      </c>
    </row>
    <row r="4" customFormat="false" ht="15" hidden="false" customHeight="false" outlineLevel="0" collapsed="false">
      <c r="A4" s="0" t="s">
        <v>98</v>
      </c>
    </row>
    <row r="5" customFormat="false" ht="15" hidden="false" customHeight="false" outlineLevel="0" collapsed="false">
      <c r="A5" s="0" t="s">
        <v>102</v>
      </c>
    </row>
    <row r="6" customFormat="false" ht="15" hidden="false" customHeight="false" outlineLevel="0" collapsed="false">
      <c r="A6" s="0" t="s">
        <v>28</v>
      </c>
    </row>
    <row r="7" customFormat="false" ht="30" hidden="false" customHeight="true" outlineLevel="0" collapsed="false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</row>
    <row r="8" customFormat="false" ht="15" hidden="false" customHeight="false" outlineLevel="0" collapsed="false">
      <c r="A8" s="6" t="s">
        <v>38</v>
      </c>
      <c r="B8" s="7" t="s">
        <v>112</v>
      </c>
      <c r="C8" s="8" t="n">
        <v>22</v>
      </c>
      <c r="D8" s="7" t="s">
        <v>40</v>
      </c>
      <c r="E8" s="9" t="n">
        <v>310</v>
      </c>
      <c r="F8" s="9" t="n">
        <f aca="false">C8*E8</f>
        <v>6820</v>
      </c>
      <c r="G8" s="9" t="n">
        <f aca="false">E8*1.81818181818182</f>
        <v>563.636363636364</v>
      </c>
      <c r="H8" s="9" t="n">
        <f aca="false">C8*G8</f>
        <v>12400</v>
      </c>
      <c r="I8" s="10" t="n">
        <f aca="false">(H8-F8)/H8*100</f>
        <v>45</v>
      </c>
    </row>
    <row r="9" customFormat="false" ht="15" hidden="false" customHeight="false" outlineLevel="0" collapsed="false">
      <c r="A9" s="6" t="s">
        <v>38</v>
      </c>
      <c r="B9" s="7" t="s">
        <v>104</v>
      </c>
      <c r="C9" s="8" t="n">
        <v>25</v>
      </c>
      <c r="D9" s="7" t="s">
        <v>40</v>
      </c>
      <c r="E9" s="9" t="n">
        <v>455</v>
      </c>
      <c r="F9" s="9" t="n">
        <f aca="false">C9*E9</f>
        <v>11375</v>
      </c>
      <c r="G9" s="9" t="n">
        <f aca="false">E9*1.81818181818182</f>
        <v>827.272727272727</v>
      </c>
      <c r="H9" s="9" t="n">
        <f aca="false">C9*G9</f>
        <v>20681.8181818182</v>
      </c>
      <c r="I9" s="10" t="n">
        <f aca="false">(H9-F9)/H9*100</f>
        <v>45</v>
      </c>
    </row>
    <row r="10" customFormat="false" ht="15" hidden="false" customHeight="false" outlineLevel="0" collapsed="false">
      <c r="A10" s="6" t="s">
        <v>38</v>
      </c>
      <c r="B10" s="7" t="s">
        <v>42</v>
      </c>
      <c r="C10" s="8" t="n">
        <v>320</v>
      </c>
      <c r="D10" s="7" t="s">
        <v>43</v>
      </c>
      <c r="E10" s="9" t="n">
        <v>4.25</v>
      </c>
      <c r="F10" s="9" t="n">
        <f aca="false">C10*E10</f>
        <v>1360</v>
      </c>
      <c r="G10" s="9" t="n">
        <f aca="false">E10*1.81818181818182</f>
        <v>7.72727272727273</v>
      </c>
      <c r="H10" s="9" t="n">
        <f aca="false">C10*G10</f>
        <v>2472.72727272727</v>
      </c>
      <c r="I10" s="10" t="n">
        <f aca="false">(H10-F10)/H10*100</f>
        <v>45</v>
      </c>
    </row>
    <row r="11" customFormat="false" ht="15" hidden="false" customHeight="false" outlineLevel="0" collapsed="false">
      <c r="A11" s="6" t="s">
        <v>38</v>
      </c>
      <c r="B11" s="7" t="s">
        <v>44</v>
      </c>
      <c r="C11" s="8" t="n">
        <v>8</v>
      </c>
      <c r="D11" s="7" t="s">
        <v>45</v>
      </c>
      <c r="E11" s="9" t="n">
        <v>45</v>
      </c>
      <c r="F11" s="9" t="n">
        <f aca="false">C11*E11</f>
        <v>360</v>
      </c>
      <c r="G11" s="9" t="n">
        <f aca="false">E11*1.81818181818182</f>
        <v>81.8181818181818</v>
      </c>
      <c r="H11" s="9" t="n">
        <f aca="false">C11*G11</f>
        <v>654.545454545455</v>
      </c>
      <c r="I11" s="10" t="n">
        <f aca="false">(H11-F11)/H11*100</f>
        <v>45</v>
      </c>
    </row>
    <row r="12" customFormat="false" ht="15" hidden="false" customHeight="false" outlineLevel="0" collapsed="false">
      <c r="A12" s="6" t="s">
        <v>38</v>
      </c>
      <c r="B12" s="7" t="s">
        <v>93</v>
      </c>
      <c r="C12" s="8" t="n">
        <v>4</v>
      </c>
      <c r="D12" s="7" t="s">
        <v>94</v>
      </c>
      <c r="E12" s="9" t="n">
        <v>225</v>
      </c>
      <c r="F12" s="9" t="n">
        <f aca="false">C12*E12</f>
        <v>900</v>
      </c>
      <c r="G12" s="9" t="n">
        <f aca="false">E12*1.81818181818182</f>
        <v>409.090909090909</v>
      </c>
      <c r="H12" s="9" t="n">
        <f aca="false">C12*G12</f>
        <v>1636.36363636364</v>
      </c>
      <c r="I12" s="10" t="n">
        <f aca="false">(H12-F12)/H12*100</f>
        <v>45</v>
      </c>
    </row>
    <row r="13" customFormat="false" ht="15" hidden="false" customHeight="false" outlineLevel="0" collapsed="false">
      <c r="A13" s="6" t="s">
        <v>38</v>
      </c>
      <c r="B13" s="7" t="s">
        <v>46</v>
      </c>
      <c r="C13" s="8" t="n">
        <v>22</v>
      </c>
      <c r="D13" s="7" t="s">
        <v>40</v>
      </c>
      <c r="E13" s="9" t="n">
        <v>45</v>
      </c>
      <c r="F13" s="9" t="n">
        <f aca="false">C13*E13</f>
        <v>990</v>
      </c>
      <c r="G13" s="9" t="n">
        <f aca="false">E13*1.81818181818182</f>
        <v>81.8181818181818</v>
      </c>
      <c r="H13" s="9" t="n">
        <f aca="false">C13*G13</f>
        <v>1800</v>
      </c>
      <c r="I13" s="10" t="n">
        <f aca="false">(H13-F13)/H13*100</f>
        <v>45</v>
      </c>
    </row>
    <row r="14" customFormat="false" ht="15" hidden="false" customHeight="false" outlineLevel="0" collapsed="false">
      <c r="A14" s="11" t="s">
        <v>47</v>
      </c>
      <c r="B14" s="7" t="s">
        <v>48</v>
      </c>
      <c r="C14" s="8" t="n">
        <v>1400</v>
      </c>
      <c r="D14" s="7" t="s">
        <v>43</v>
      </c>
      <c r="E14" s="9" t="n">
        <v>4.5</v>
      </c>
      <c r="F14" s="9" t="n">
        <f aca="false">C14*E14</f>
        <v>6300</v>
      </c>
      <c r="G14" s="9" t="n">
        <f aca="false">E14*1.81818181818182</f>
        <v>8.18181818181818</v>
      </c>
      <c r="H14" s="9" t="n">
        <f aca="false">C14*G14</f>
        <v>11454.5454545455</v>
      </c>
      <c r="I14" s="10" t="n">
        <f aca="false">(H14-F14)/H14*100</f>
        <v>45</v>
      </c>
    </row>
    <row r="15" customFormat="false" ht="15" hidden="false" customHeight="false" outlineLevel="0" collapsed="false">
      <c r="A15" s="11" t="s">
        <v>47</v>
      </c>
      <c r="B15" s="7" t="s">
        <v>49</v>
      </c>
      <c r="C15" s="8" t="n">
        <v>1280</v>
      </c>
      <c r="D15" s="7" t="s">
        <v>43</v>
      </c>
      <c r="E15" s="9" t="n">
        <v>4.25</v>
      </c>
      <c r="F15" s="9" t="n">
        <f aca="false">C15*E15</f>
        <v>5440</v>
      </c>
      <c r="G15" s="9" t="n">
        <f aca="false">E15*1.81818181818182</f>
        <v>7.72727272727273</v>
      </c>
      <c r="H15" s="9" t="n">
        <f aca="false">C15*G15</f>
        <v>9890.90909090909</v>
      </c>
      <c r="I15" s="10" t="n">
        <f aca="false">(H15-F15)/H15*100</f>
        <v>45</v>
      </c>
    </row>
    <row r="16" customFormat="false" ht="15" hidden="false" customHeight="false" outlineLevel="0" collapsed="false">
      <c r="A16" s="11" t="s">
        <v>47</v>
      </c>
      <c r="B16" s="7" t="s">
        <v>87</v>
      </c>
      <c r="C16" s="8" t="n">
        <v>30</v>
      </c>
      <c r="D16" s="7" t="s">
        <v>45</v>
      </c>
      <c r="E16" s="9" t="n">
        <v>8.5</v>
      </c>
      <c r="F16" s="9" t="n">
        <f aca="false">C16*E16</f>
        <v>255</v>
      </c>
      <c r="G16" s="9" t="n">
        <f aca="false">E16*1.81818181818182</f>
        <v>15.4545454545455</v>
      </c>
      <c r="H16" s="9" t="n">
        <f aca="false">C16*G16</f>
        <v>463.636363636364</v>
      </c>
      <c r="I16" s="10" t="n">
        <f aca="false">(H16-F16)/H16*100</f>
        <v>45</v>
      </c>
    </row>
    <row r="17" customFormat="false" ht="15" hidden="false" customHeight="false" outlineLevel="0" collapsed="false">
      <c r="A17" s="6" t="s">
        <v>50</v>
      </c>
      <c r="B17" s="7" t="s">
        <v>51</v>
      </c>
      <c r="C17" s="8" t="n">
        <v>68</v>
      </c>
      <c r="D17" s="7" t="s">
        <v>52</v>
      </c>
      <c r="E17" s="9" t="n">
        <v>86</v>
      </c>
      <c r="F17" s="9" t="n">
        <f aca="false">C17*E17</f>
        <v>5848</v>
      </c>
      <c r="G17" s="9" t="n">
        <f aca="false">E17*1.81818181818182</f>
        <v>156.363636363636</v>
      </c>
      <c r="H17" s="9" t="n">
        <f aca="false">C17*G17</f>
        <v>10632.7272727273</v>
      </c>
      <c r="I17" s="10" t="n">
        <f aca="false">(H17-F17)/H17*100</f>
        <v>45</v>
      </c>
    </row>
    <row r="18" customFormat="false" ht="15" hidden="false" customHeight="false" outlineLevel="0" collapsed="false">
      <c r="A18" s="6" t="s">
        <v>50</v>
      </c>
      <c r="B18" s="7" t="s">
        <v>53</v>
      </c>
      <c r="C18" s="8" t="n">
        <v>100</v>
      </c>
      <c r="D18" s="7" t="s">
        <v>43</v>
      </c>
      <c r="E18" s="9" t="n">
        <v>1.5</v>
      </c>
      <c r="F18" s="9" t="n">
        <f aca="false">C18*E18</f>
        <v>150</v>
      </c>
      <c r="G18" s="9" t="n">
        <f aca="false">E18*1.81818181818182</f>
        <v>2.72727272727273</v>
      </c>
      <c r="H18" s="9" t="n">
        <f aca="false">C18*G18</f>
        <v>272.727272727273</v>
      </c>
      <c r="I18" s="10" t="n">
        <f aca="false">(H18-F18)/H18*100</f>
        <v>45</v>
      </c>
    </row>
    <row r="19" customFormat="false" ht="15" hidden="false" customHeight="false" outlineLevel="0" collapsed="false">
      <c r="A19" s="6" t="s">
        <v>50</v>
      </c>
      <c r="B19" s="7" t="s">
        <v>54</v>
      </c>
      <c r="C19" s="8" t="n">
        <v>68</v>
      </c>
      <c r="D19" s="7" t="s">
        <v>40</v>
      </c>
      <c r="E19" s="9" t="n">
        <v>2</v>
      </c>
      <c r="F19" s="9" t="n">
        <f aca="false">C19*E19</f>
        <v>136</v>
      </c>
      <c r="G19" s="9" t="n">
        <f aca="false">E19*1.81818181818182</f>
        <v>3.63636363636364</v>
      </c>
      <c r="H19" s="9" t="n">
        <f aca="false">C19*G19</f>
        <v>247.272727272727</v>
      </c>
      <c r="I19" s="10" t="n">
        <f aca="false">(H19-F19)/H19*100</f>
        <v>45</v>
      </c>
    </row>
    <row r="20" customFormat="false" ht="15" hidden="false" customHeight="false" outlineLevel="0" collapsed="false">
      <c r="A20" s="6" t="s">
        <v>50</v>
      </c>
      <c r="B20" s="7" t="s">
        <v>55</v>
      </c>
      <c r="C20" s="8" t="n">
        <v>1360</v>
      </c>
      <c r="D20" s="7" t="s">
        <v>40</v>
      </c>
      <c r="E20" s="9" t="n">
        <v>0.18</v>
      </c>
      <c r="F20" s="9" t="n">
        <f aca="false">C20*E20</f>
        <v>244.8</v>
      </c>
      <c r="G20" s="9" t="n">
        <f aca="false">E20*1.81818181818182</f>
        <v>0.327272727272727</v>
      </c>
      <c r="H20" s="9" t="n">
        <f aca="false">C20*G20</f>
        <v>445.090909090909</v>
      </c>
      <c r="I20" s="10" t="n">
        <f aca="false">(H20-F20)/H20*100</f>
        <v>45</v>
      </c>
    </row>
    <row r="21" customFormat="false" ht="15" hidden="false" customHeight="false" outlineLevel="0" collapsed="false">
      <c r="A21" s="11" t="s">
        <v>56</v>
      </c>
      <c r="B21" s="7" t="s">
        <v>100</v>
      </c>
      <c r="C21" s="8" t="n">
        <v>107</v>
      </c>
      <c r="D21" s="7" t="s">
        <v>52</v>
      </c>
      <c r="E21" s="9" t="n">
        <v>70</v>
      </c>
      <c r="F21" s="9" t="n">
        <f aca="false">C21*E21</f>
        <v>7490</v>
      </c>
      <c r="G21" s="9" t="n">
        <f aca="false">E21*1.81818181818182</f>
        <v>127.272727272727</v>
      </c>
      <c r="H21" s="9" t="n">
        <f aca="false">C21*G21</f>
        <v>13618.1818181818</v>
      </c>
      <c r="I21" s="10" t="n">
        <f aca="false">(H21-F21)/H21*100</f>
        <v>45</v>
      </c>
    </row>
    <row r="22" customFormat="false" ht="15" hidden="false" customHeight="false" outlineLevel="0" collapsed="false">
      <c r="A22" s="11" t="s">
        <v>56</v>
      </c>
      <c r="B22" s="7" t="s">
        <v>58</v>
      </c>
      <c r="C22" s="8" t="n">
        <v>40</v>
      </c>
      <c r="D22" s="7" t="s">
        <v>52</v>
      </c>
      <c r="E22" s="9" t="n">
        <v>18</v>
      </c>
      <c r="F22" s="9" t="n">
        <f aca="false">C22*E22</f>
        <v>720</v>
      </c>
      <c r="G22" s="9" t="n">
        <f aca="false">E22*1.81818181818182</f>
        <v>32.7272727272727</v>
      </c>
      <c r="H22" s="9" t="n">
        <f aca="false">C22*G22</f>
        <v>1309.09090909091</v>
      </c>
      <c r="I22" s="10" t="n">
        <f aca="false">(H22-F22)/H22*100</f>
        <v>45</v>
      </c>
    </row>
    <row r="23" customFormat="false" ht="15" hidden="false" customHeight="false" outlineLevel="0" collapsed="false">
      <c r="A23" s="11" t="s">
        <v>56</v>
      </c>
      <c r="B23" s="7" t="s">
        <v>59</v>
      </c>
      <c r="C23" s="8" t="n">
        <v>3200</v>
      </c>
      <c r="D23" s="7" t="s">
        <v>40</v>
      </c>
      <c r="E23" s="9" t="n">
        <v>0.16</v>
      </c>
      <c r="F23" s="9" t="n">
        <f aca="false">C23*E23</f>
        <v>512</v>
      </c>
      <c r="G23" s="9" t="n">
        <f aca="false">E23*1.81818181818182</f>
        <v>0.290909090909091</v>
      </c>
      <c r="H23" s="9" t="n">
        <f aca="false">C23*G23</f>
        <v>930.909090909091</v>
      </c>
      <c r="I23" s="10" t="n">
        <f aca="false">(H23-F23)/H23*100</f>
        <v>45</v>
      </c>
    </row>
    <row r="24" customFormat="false" ht="15" hidden="false" customHeight="false" outlineLevel="0" collapsed="false">
      <c r="A24" s="11" t="s">
        <v>56</v>
      </c>
      <c r="B24" s="7" t="s">
        <v>60</v>
      </c>
      <c r="C24" s="8" t="n">
        <v>14</v>
      </c>
      <c r="D24" s="7" t="s">
        <v>40</v>
      </c>
      <c r="E24" s="9" t="n">
        <v>2.5</v>
      </c>
      <c r="F24" s="9" t="n">
        <f aca="false">C24*E24</f>
        <v>35</v>
      </c>
      <c r="G24" s="9" t="n">
        <f aca="false">E24*1.81818181818182</f>
        <v>4.54545454545455</v>
      </c>
      <c r="H24" s="9" t="n">
        <f aca="false">C24*G24</f>
        <v>63.6363636363636</v>
      </c>
      <c r="I24" s="10" t="n">
        <f aca="false">(H24-F24)/H24*100</f>
        <v>45</v>
      </c>
    </row>
    <row r="25" customFormat="false" ht="15" hidden="false" customHeight="false" outlineLevel="0" collapsed="false">
      <c r="A25" s="6" t="s">
        <v>61</v>
      </c>
      <c r="B25" s="7" t="s">
        <v>62</v>
      </c>
      <c r="C25" s="8" t="n">
        <v>200</v>
      </c>
      <c r="D25" s="7" t="s">
        <v>43</v>
      </c>
      <c r="E25" s="9" t="n">
        <v>1.25</v>
      </c>
      <c r="F25" s="9" t="n">
        <f aca="false">C25*E25</f>
        <v>250</v>
      </c>
      <c r="G25" s="9" t="n">
        <f aca="false">E25*1.81818181818182</f>
        <v>2.27272727272727</v>
      </c>
      <c r="H25" s="9" t="n">
        <f aca="false">C25*G25</f>
        <v>454.545454545455</v>
      </c>
      <c r="I25" s="10" t="n">
        <f aca="false">(H25-F25)/H25*100</f>
        <v>45</v>
      </c>
    </row>
    <row r="26" customFormat="false" ht="15" hidden="false" customHeight="false" outlineLevel="0" collapsed="false">
      <c r="A26" s="6" t="s">
        <v>61</v>
      </c>
      <c r="B26" s="7" t="s">
        <v>63</v>
      </c>
      <c r="C26" s="8" t="n">
        <v>123.69316876853</v>
      </c>
      <c r="D26" s="7" t="s">
        <v>43</v>
      </c>
      <c r="E26" s="9" t="n">
        <v>1.5</v>
      </c>
      <c r="F26" s="9" t="n">
        <f aca="false">C26*E26</f>
        <v>185.539753152795</v>
      </c>
      <c r="G26" s="9" t="n">
        <f aca="false">E26*1.81818181818182</f>
        <v>2.72727272727273</v>
      </c>
      <c r="H26" s="9" t="n">
        <f aca="false">C26*G26</f>
        <v>337.345005732354</v>
      </c>
      <c r="I26" s="10" t="n">
        <f aca="false">(H26-F26)/H26*100</f>
        <v>45</v>
      </c>
    </row>
    <row r="27" customFormat="false" ht="15" hidden="false" customHeight="false" outlineLevel="0" collapsed="false">
      <c r="A27" s="6" t="s">
        <v>61</v>
      </c>
      <c r="B27" s="7" t="s">
        <v>64</v>
      </c>
      <c r="C27" s="8" t="n">
        <v>80</v>
      </c>
      <c r="D27" s="7" t="s">
        <v>43</v>
      </c>
      <c r="E27" s="9" t="n">
        <v>1.75</v>
      </c>
      <c r="F27" s="9" t="n">
        <f aca="false">C27*E27</f>
        <v>140</v>
      </c>
      <c r="G27" s="9" t="n">
        <f aca="false">E27*1.81818181818182</f>
        <v>3.18181818181818</v>
      </c>
      <c r="H27" s="9" t="n">
        <f aca="false">C27*G27</f>
        <v>254.545454545455</v>
      </c>
      <c r="I27" s="10" t="n">
        <f aca="false">(H27-F27)/H27*100</f>
        <v>45</v>
      </c>
    </row>
    <row r="28" customFormat="false" ht="15" hidden="false" customHeight="false" outlineLevel="0" collapsed="false">
      <c r="A28" s="6" t="s">
        <v>61</v>
      </c>
      <c r="B28" s="7" t="s">
        <v>65</v>
      </c>
      <c r="C28" s="8" t="n">
        <v>320</v>
      </c>
      <c r="D28" s="7" t="s">
        <v>43</v>
      </c>
      <c r="E28" s="9" t="n">
        <v>0.75</v>
      </c>
      <c r="F28" s="9" t="n">
        <f aca="false">C28*E28</f>
        <v>240</v>
      </c>
      <c r="G28" s="9" t="n">
        <f aca="false">E28*1.81818181818182</f>
        <v>1.36363636363636</v>
      </c>
      <c r="H28" s="9" t="n">
        <f aca="false">C28*G28</f>
        <v>436.363636363636</v>
      </c>
      <c r="I28" s="10" t="n">
        <f aca="false">(H28-F28)/H28*100</f>
        <v>45</v>
      </c>
    </row>
    <row r="29" customFormat="false" ht="15" hidden="false" customHeight="false" outlineLevel="0" collapsed="false">
      <c r="A29" s="6" t="s">
        <v>61</v>
      </c>
      <c r="B29" s="7" t="s">
        <v>66</v>
      </c>
      <c r="C29" s="8" t="n">
        <v>200</v>
      </c>
      <c r="D29" s="7" t="s">
        <v>43</v>
      </c>
      <c r="E29" s="9" t="n">
        <v>0.85</v>
      </c>
      <c r="F29" s="9" t="n">
        <f aca="false">C29*E29</f>
        <v>170</v>
      </c>
      <c r="G29" s="9" t="n">
        <f aca="false">E29*1.81818181818182</f>
        <v>1.54545454545455</v>
      </c>
      <c r="H29" s="9" t="n">
        <f aca="false">C29*G29</f>
        <v>309.090909090909</v>
      </c>
      <c r="I29" s="10" t="n">
        <f aca="false">(H29-F29)/H29*100</f>
        <v>45</v>
      </c>
    </row>
    <row r="30" customFormat="false" ht="15" hidden="false" customHeight="false" outlineLevel="0" collapsed="false">
      <c r="A30" s="6" t="s">
        <v>61</v>
      </c>
      <c r="B30" s="7" t="s">
        <v>67</v>
      </c>
      <c r="C30" s="8" t="n">
        <v>61.8465843842649</v>
      </c>
      <c r="D30" s="7" t="s">
        <v>43</v>
      </c>
      <c r="E30" s="9" t="n">
        <v>1</v>
      </c>
      <c r="F30" s="9" t="n">
        <f aca="false">C30*E30</f>
        <v>61.8465843842649</v>
      </c>
      <c r="G30" s="9" t="n">
        <f aca="false">E30*1.81818181818182</f>
        <v>1.81818181818182</v>
      </c>
      <c r="H30" s="9" t="n">
        <f aca="false">C30*G30</f>
        <v>112.448335244118</v>
      </c>
      <c r="I30" s="10" t="n">
        <f aca="false">(H30-F30)/H30*100</f>
        <v>45</v>
      </c>
    </row>
    <row r="31" customFormat="false" ht="15" hidden="false" customHeight="false" outlineLevel="0" collapsed="false">
      <c r="A31" s="11" t="s">
        <v>68</v>
      </c>
      <c r="B31" s="7" t="s">
        <v>69</v>
      </c>
      <c r="C31" s="8" t="n">
        <v>220</v>
      </c>
      <c r="D31" s="7" t="s">
        <v>40</v>
      </c>
      <c r="E31" s="9" t="n">
        <v>1.25</v>
      </c>
      <c r="F31" s="9" t="n">
        <f aca="false">C31*E31</f>
        <v>275</v>
      </c>
      <c r="G31" s="9" t="n">
        <f aca="false">E31*1.81818181818182</f>
        <v>2.27272727272727</v>
      </c>
      <c r="H31" s="9" t="n">
        <f aca="false">C31*G31</f>
        <v>500</v>
      </c>
      <c r="I31" s="10" t="n">
        <f aca="false">(H31-F31)/H31*100</f>
        <v>45</v>
      </c>
    </row>
    <row r="32" customFormat="false" ht="15" hidden="false" customHeight="false" outlineLevel="0" collapsed="false">
      <c r="A32" s="11" t="s">
        <v>68</v>
      </c>
      <c r="B32" s="7" t="s">
        <v>70</v>
      </c>
      <c r="C32" s="8" t="n">
        <v>132</v>
      </c>
      <c r="D32" s="7" t="s">
        <v>40</v>
      </c>
      <c r="E32" s="9" t="n">
        <v>0.85</v>
      </c>
      <c r="F32" s="9" t="n">
        <f aca="false">C32*E32</f>
        <v>112.2</v>
      </c>
      <c r="G32" s="9" t="n">
        <f aca="false">E32*1.81818181818182</f>
        <v>1.54545454545455</v>
      </c>
      <c r="H32" s="9" t="n">
        <f aca="false">C32*G32</f>
        <v>204</v>
      </c>
      <c r="I32" s="10" t="n">
        <f aca="false">(H32-F32)/H32*100</f>
        <v>45</v>
      </c>
    </row>
    <row r="33" customFormat="false" ht="15" hidden="false" customHeight="false" outlineLevel="0" collapsed="false">
      <c r="A33" s="11" t="s">
        <v>68</v>
      </c>
      <c r="B33" s="7" t="s">
        <v>71</v>
      </c>
      <c r="C33" s="8" t="n">
        <v>700</v>
      </c>
      <c r="D33" s="7" t="s">
        <v>40</v>
      </c>
      <c r="E33" s="9" t="n">
        <v>0.15</v>
      </c>
      <c r="F33" s="9" t="n">
        <f aca="false">C33*E33</f>
        <v>105</v>
      </c>
      <c r="G33" s="9" t="n">
        <f aca="false">E33*1.81818181818182</f>
        <v>0.272727272727273</v>
      </c>
      <c r="H33" s="9" t="n">
        <f aca="false">C33*G33</f>
        <v>190.909090909091</v>
      </c>
      <c r="I33" s="10" t="n">
        <f aca="false">(H33-F33)/H33*100</f>
        <v>45</v>
      </c>
    </row>
    <row r="34" customFormat="false" ht="15" hidden="false" customHeight="false" outlineLevel="0" collapsed="false">
      <c r="A34" s="11" t="s">
        <v>68</v>
      </c>
      <c r="B34" s="7" t="s">
        <v>72</v>
      </c>
      <c r="C34" s="8" t="n">
        <v>1536</v>
      </c>
      <c r="D34" s="7" t="s">
        <v>40</v>
      </c>
      <c r="E34" s="9" t="n">
        <v>0.15</v>
      </c>
      <c r="F34" s="9" t="n">
        <f aca="false">C34*E34</f>
        <v>230.4</v>
      </c>
      <c r="G34" s="9" t="n">
        <f aca="false">E34*1.81818181818182</f>
        <v>0.272727272727273</v>
      </c>
      <c r="H34" s="9" t="n">
        <f aca="false">C34*G34</f>
        <v>418.909090909091</v>
      </c>
      <c r="I34" s="10" t="n">
        <f aca="false">(H34-F34)/H34*100</f>
        <v>45</v>
      </c>
    </row>
    <row r="35" customFormat="false" ht="15" hidden="false" customHeight="false" outlineLevel="0" collapsed="false">
      <c r="A35" s="11" t="s">
        <v>68</v>
      </c>
      <c r="B35" s="7" t="s">
        <v>89</v>
      </c>
      <c r="C35" s="8" t="n">
        <v>40</v>
      </c>
      <c r="D35" s="7" t="s">
        <v>40</v>
      </c>
      <c r="E35" s="9" t="n">
        <v>16</v>
      </c>
      <c r="F35" s="9" t="n">
        <f aca="false">C35*E35</f>
        <v>640</v>
      </c>
      <c r="G35" s="9" t="n">
        <f aca="false">E35*1.81818181818182</f>
        <v>29.0909090909091</v>
      </c>
      <c r="H35" s="9" t="n">
        <f aca="false">C35*G35</f>
        <v>1163.63636363636</v>
      </c>
      <c r="I35" s="10" t="n">
        <f aca="false">(H35-F35)/H35*100</f>
        <v>45</v>
      </c>
    </row>
    <row r="36" customFormat="false" ht="15" hidden="false" customHeight="false" outlineLevel="0" collapsed="false">
      <c r="A36" s="11" t="s">
        <v>68</v>
      </c>
      <c r="B36" s="7" t="s">
        <v>96</v>
      </c>
      <c r="C36" s="8" t="n">
        <v>88</v>
      </c>
      <c r="D36" s="7" t="s">
        <v>40</v>
      </c>
      <c r="E36" s="9" t="n">
        <v>1.5</v>
      </c>
      <c r="F36" s="9" t="n">
        <f aca="false">C36*E36</f>
        <v>132</v>
      </c>
      <c r="G36" s="9" t="n">
        <f aca="false">E36*1.81818181818182</f>
        <v>2.72727272727273</v>
      </c>
      <c r="H36" s="9" t="n">
        <f aca="false">C36*G36</f>
        <v>240</v>
      </c>
      <c r="I36" s="10" t="n">
        <f aca="false">(H36-F36)/H36*100</f>
        <v>45</v>
      </c>
    </row>
    <row r="37" customFormat="false" ht="15" hidden="false" customHeight="false" outlineLevel="0" collapsed="false">
      <c r="A37" s="11" t="s">
        <v>68</v>
      </c>
      <c r="B37" s="7" t="s">
        <v>73</v>
      </c>
      <c r="C37" s="8" t="n">
        <v>4</v>
      </c>
      <c r="D37" s="7" t="s">
        <v>74</v>
      </c>
      <c r="E37" s="9" t="n">
        <v>35</v>
      </c>
      <c r="F37" s="9" t="n">
        <f aca="false">C37*E37</f>
        <v>140</v>
      </c>
      <c r="G37" s="9" t="n">
        <f aca="false">E37*1.81818181818182</f>
        <v>63.6363636363636</v>
      </c>
      <c r="H37" s="9" t="n">
        <f aca="false">C37*G37</f>
        <v>254.545454545455</v>
      </c>
      <c r="I37" s="10" t="n">
        <f aca="false">(H37-F37)/H37*100</f>
        <v>45</v>
      </c>
    </row>
    <row r="38" customFormat="false" ht="15" hidden="false" customHeight="false" outlineLevel="0" collapsed="false">
      <c r="A38" s="11" t="s">
        <v>68</v>
      </c>
      <c r="B38" s="7" t="s">
        <v>75</v>
      </c>
      <c r="C38" s="8" t="n">
        <v>64</v>
      </c>
      <c r="D38" s="7" t="s">
        <v>76</v>
      </c>
      <c r="E38" s="9" t="n">
        <v>12</v>
      </c>
      <c r="F38" s="9" t="n">
        <f aca="false">C38*E38</f>
        <v>768</v>
      </c>
      <c r="G38" s="9" t="n">
        <f aca="false">E38*1.81818181818182</f>
        <v>21.8181818181818</v>
      </c>
      <c r="H38" s="9" t="n">
        <f aca="false">C38*G38</f>
        <v>1396.36363636364</v>
      </c>
      <c r="I38" s="10" t="n">
        <f aca="false">(H38-F38)/H38*100</f>
        <v>45</v>
      </c>
    </row>
    <row r="39" customFormat="false" ht="15" hidden="false" customHeight="false" outlineLevel="0" collapsed="false">
      <c r="A39" s="11" t="s">
        <v>68</v>
      </c>
      <c r="B39" s="7" t="s">
        <v>77</v>
      </c>
      <c r="C39" s="8" t="n">
        <v>1</v>
      </c>
      <c r="D39" s="7" t="s">
        <v>78</v>
      </c>
      <c r="E39" s="9" t="n">
        <v>125</v>
      </c>
      <c r="F39" s="9" t="n">
        <f aca="false">C39*E39</f>
        <v>125</v>
      </c>
      <c r="G39" s="9" t="n">
        <f aca="false">E39*1.81818181818182</f>
        <v>227.272727272727</v>
      </c>
      <c r="H39" s="9" t="n">
        <f aca="false">C39*G39</f>
        <v>227.272727272727</v>
      </c>
      <c r="I39" s="10" t="n">
        <f aca="false">(H39-F39)/H39*100</f>
        <v>45</v>
      </c>
    </row>
    <row r="40" customFormat="false" ht="15" hidden="false" customHeight="false" outlineLevel="0" collapsed="false">
      <c r="A40" s="12" t="s">
        <v>79</v>
      </c>
      <c r="B40" s="12"/>
      <c r="C40" s="12"/>
      <c r="D40" s="12"/>
      <c r="F40" s="13" t="n">
        <f aca="false">SUM(F8:F39)</f>
        <v>52510.7863375371</v>
      </c>
      <c r="H40" s="13" t="n">
        <f aca="false">SUM(H8:H39)</f>
        <v>95474.1569773401</v>
      </c>
      <c r="I40" s="14" t="n">
        <f aca="false">(H40-F40)/H40*100</f>
        <v>45</v>
      </c>
    </row>
  </sheetData>
  <mergeCells count="2">
    <mergeCell ref="A1:I1"/>
    <mergeCell ref="A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2026-02-15T01:49:04Z</dcterms:created>
  <dc:creator>openpyxl</dc:creator>
  <dc:description/>
  <dc:language>en-US</dc:language>
  <cp:lastModifiedBy/>
  <dcterms:modified xsi:type="dcterms:W3CDTF">2026-02-15T01:49:04Z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